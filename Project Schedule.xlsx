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https://d.docs.live.net/860e3233a448b61c/Desktop/WEBdev/"/>
    </mc:Choice>
  </mc:AlternateContent>
  <xr:revisionPtr revIDLastSave="0" documentId="8_{E1262B08-FE56-4796-AD60-13DB14CD449E}" xr6:coauthVersionLast="47" xr6:coauthVersionMax="47" xr10:uidLastSave="{00000000-0000-0000-0000-000000000000}"/>
  <bookViews>
    <workbookView xWindow="-108" yWindow="-108" windowWidth="23256" windowHeight="12456" activeTab="1"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6" i="16" l="1"/>
  <c r="Q6" i="16" s="1"/>
  <c r="R6" i="16" l="1"/>
  <c r="Q7" i="16"/>
  <c r="P5" i="16"/>
  <c r="P7" i="16"/>
  <c r="S6" i="16" l="1"/>
  <c r="R7" i="16"/>
  <c r="T6" i="16" l="1"/>
  <c r="S7" i="16"/>
  <c r="U6" i="16" l="1"/>
  <c r="T7" i="16"/>
  <c r="U7" i="16" l="1"/>
  <c r="V6" i="16"/>
  <c r="V7" i="16" l="1"/>
  <c r="W6" i="16"/>
  <c r="X6" i="16" l="1"/>
  <c r="W5" i="16"/>
  <c r="W7" i="16"/>
  <c r="Y6" i="16" l="1"/>
  <c r="X7" i="16"/>
  <c r="Z6" i="16" l="1"/>
  <c r="Y7" i="16"/>
  <c r="AA6" i="16" l="1"/>
  <c r="Z7" i="16"/>
  <c r="AB6" i="16" l="1"/>
  <c r="AA7" i="16"/>
  <c r="AC6" i="16" l="1"/>
  <c r="AB7" i="16"/>
  <c r="AC7" i="16" l="1"/>
  <c r="AD6" i="16"/>
  <c r="AD7" i="16" l="1"/>
  <c r="AD5" i="16"/>
  <c r="AE6" i="16"/>
  <c r="AF6" i="16" l="1"/>
  <c r="AE7" i="16"/>
  <c r="AG6" i="16" l="1"/>
  <c r="AF7" i="16"/>
  <c r="AH6" i="16" l="1"/>
  <c r="AG7" i="16"/>
  <c r="AI6" i="16" l="1"/>
  <c r="AH7" i="16"/>
  <c r="AJ6" i="16" l="1"/>
  <c r="AI7" i="16"/>
  <c r="AK6" i="16" l="1"/>
  <c r="AJ7" i="16"/>
  <c r="AK7" i="16" l="1"/>
  <c r="AK5" i="16"/>
  <c r="AL6" i="16"/>
  <c r="AL7" i="16" l="1"/>
  <c r="AM6" i="16"/>
  <c r="AN6" i="16" l="1"/>
  <c r="AM7" i="16"/>
  <c r="AO6" i="16" l="1"/>
  <c r="AN7" i="16"/>
  <c r="AP6" i="16" l="1"/>
  <c r="AO7" i="16"/>
  <c r="AQ6" i="16" l="1"/>
  <c r="AP7" i="16"/>
  <c r="AR6" i="16" l="1"/>
  <c r="AQ7" i="16"/>
  <c r="AS6" i="16" l="1"/>
  <c r="AR7" i="16"/>
  <c r="AR5" i="16"/>
  <c r="AS7" i="16" l="1"/>
  <c r="AT6" i="16"/>
  <c r="AT7" i="16" l="1"/>
  <c r="AU6" i="16"/>
  <c r="AV6" i="16" l="1"/>
  <c r="AU7" i="16"/>
  <c r="AW6" i="16" l="1"/>
  <c r="AV7" i="16"/>
  <c r="AX6" i="16" l="1"/>
  <c r="AW7" i="16"/>
  <c r="AY6" i="16" l="1"/>
  <c r="AX7" i="16"/>
  <c r="AZ6" i="16" l="1"/>
  <c r="AY5" i="16"/>
  <c r="AY7" i="16"/>
  <c r="BA6" i="16" l="1"/>
  <c r="AZ7" i="16"/>
  <c r="BA7" i="16" l="1"/>
  <c r="BB6" i="16"/>
  <c r="BB7" i="16" l="1"/>
  <c r="BC6" i="16"/>
  <c r="BD6" i="16" l="1"/>
  <c r="BC7" i="16"/>
  <c r="BE6" i="16" l="1"/>
  <c r="BD7" i="16"/>
  <c r="BE7" i="16" l="1"/>
  <c r="BF6" i="16"/>
  <c r="BF5" i="16" l="1"/>
  <c r="BG6" i="16"/>
  <c r="BF7" i="16"/>
  <c r="BH6" i="16" l="1"/>
  <c r="BG7" i="16"/>
  <c r="BI6" i="16" l="1"/>
  <c r="BH7" i="16"/>
  <c r="BI7" i="16" l="1"/>
  <c r="BJ6" i="16"/>
  <c r="BJ7" i="16" l="1"/>
  <c r="BK6" i="16"/>
  <c r="BL6" i="16" l="1"/>
  <c r="BK7" i="16"/>
  <c r="BM6" i="16" l="1"/>
  <c r="BM5" i="16" s="1"/>
  <c r="BL7" i="16"/>
  <c r="BN6" i="16" l="1"/>
  <c r="BM7" i="16"/>
  <c r="BO6" i="16" l="1"/>
  <c r="BN7" i="16"/>
  <c r="BP6" i="16" l="1"/>
  <c r="BO7" i="16"/>
  <c r="BQ6" i="16" l="1"/>
  <c r="BP7" i="16"/>
  <c r="BQ7" i="16" l="1"/>
  <c r="BR6" i="16"/>
  <c r="BR7" i="16" l="1"/>
  <c r="BS6" i="16"/>
  <c r="BT6" i="16" l="1"/>
  <c r="BS7" i="16"/>
  <c r="BU6" i="16" l="1"/>
  <c r="BT5" i="16"/>
  <c r="BT7" i="16"/>
  <c r="BV6" i="16" l="1"/>
  <c r="BU7" i="16"/>
  <c r="BW6" i="16" l="1"/>
  <c r="BV7" i="16"/>
  <c r="BX6" i="16" l="1"/>
  <c r="BW7" i="16"/>
  <c r="BY6" i="16" l="1"/>
  <c r="BX7" i="16"/>
  <c r="BY7" i="16" l="1"/>
  <c r="BZ6" i="16"/>
  <c r="BZ7"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D0841952-949D-4F49-916F-D8AAD4F9B4A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<sst xmlns="http://schemas.openxmlformats.org/spreadsheetml/2006/main" count="269" uniqueCount="209">
  <si>
    <t xml:space="preserve">DOCUMENT TITLE: </t>
  </si>
  <si>
    <t>PROJECT SCHEDULE</t>
  </si>
  <si>
    <t>Document created By:</t>
  </si>
  <si>
    <t>Your Full Name</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</si>
  <si>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</si>
  <si>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</si>
  <si>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</si>
  <si>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</si>
  <si>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</si>
  <si>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</si>
  <si>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</si>
  <si>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</si>
  <si>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</si>
  <si>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</si>
  <si>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</si>
  <si>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</si>
  <si>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</si>
  <si>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</si>
  <si>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</si>
  <si>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</si>
  <si>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</si>
  <si>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</si>
  <si>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</si>
  <si>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</si>
  <si>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</si>
  <si>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</si>
  <si>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</si>
  <si>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</si>
  <si>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[Activity 1.1]</t>
  </si>
  <si>
    <t>1.1.1</t>
  </si>
  <si>
    <t>1.1.2</t>
  </si>
  <si>
    <t>1.1.3</t>
  </si>
  <si>
    <t>1.1.4</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</si>
  <si>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</si>
  <si>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</si>
  <si>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</si>
  <si>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</si>
  <si>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</si>
  <si>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</si>
  <si>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</si>
  <si>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</si>
  <si>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</si>
  <si>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</si>
  <si>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</si>
  <si>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</si>
  <si>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</si>
  <si>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</si>
  <si>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</si>
  <si>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</si>
  <si>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</si>
  <si>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</si>
  <si>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</si>
  <si>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</si>
  <si>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</si>
  <si>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</si>
  <si>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</si>
  <si>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</si>
  <si>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</si>
  <si>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</si>
  <si>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</si>
  <si>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</si>
  <si>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</si>
  <si>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</si>
  <si>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</si>
  <si>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</si>
  <si>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</si>
  <si>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</si>
  <si>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</si>
  <si>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</si>
  <si>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</si>
  <si>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</si>
  <si>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</si>
  <si>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</si>
  <si>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</si>
  <si>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</si>
  <si>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</si>
  <si>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</si>
  <si>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</si>
  <si>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</si>
  <si>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</si>
  <si>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</si>
  <si>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</si>
  <si>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</si>
  <si>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</si>
  <si>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</si>
  <si>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</si>
  <si>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</si>
  <si>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</si>
  <si>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</si>
  <si>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</si>
  <si>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</si>
  <si>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</si>
  <si>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</si>
  <si>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</si>
  <si>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</si>
  <si>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</si>
  <si>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</si>
  <si>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</si>
  <si>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</si>
  <si>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</si>
  <si>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</si>
  <si>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</si>
  <si>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</si>
  <si>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</si>
  <si>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</si>
  <si>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</si>
  <si>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</si>
  <si>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</si>
  <si>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</si>
  <si>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</si>
  <si>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</si>
  <si>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</si>
  <si>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</si>
  <si>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</si>
  <si>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</si>
  <si>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</si>
  <si>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</si>
  <si>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</si>
  <si>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</si>
  <si>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</si>
  <si>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</si>
  <si>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</si>
  <si>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</si>
  <si>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</si>
  <si>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</si>
  <si>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</si>
  <si>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</si>
  <si>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</si>
  <si>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</si>
  <si>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</si>
  <si>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</si>
  <si>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</si>
  <si>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</si>
  <si>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(Enter the date you started working on your project)</t>
  </si>
  <si>
    <t>Week 1</t>
  </si>
  <si>
    <t>Initiation</t>
  </si>
  <si>
    <t>Identify problem of fragmented college information</t>
  </si>
  <si>
    <t>Define project objectives</t>
  </si>
  <si>
    <t>Create project charter</t>
  </si>
  <si>
    <t>Requirement gathering</t>
  </si>
  <si>
    <t>Prepare SRS</t>
  </si>
  <si>
    <t>NONE</t>
  </si>
  <si>
    <t>Week 2</t>
  </si>
  <si>
    <t>Planning</t>
  </si>
  <si>
    <t>Approval of requirements and scope</t>
  </si>
  <si>
    <t>Requirement Gathering</t>
  </si>
  <si>
    <t>Create Work Breakdown Structure (WBS)</t>
  </si>
  <si>
    <t>Prepare project schedule</t>
  </si>
  <si>
    <t xml:space="preserve"> Define team roles and responsibilities</t>
  </si>
  <si>
    <t>Prepare RAID log and project plan</t>
  </si>
  <si>
    <t>Completed</t>
  </si>
  <si>
    <t>Week 3</t>
  </si>
  <si>
    <t>2.1.2</t>
  </si>
  <si>
    <t>2.1.1</t>
  </si>
  <si>
    <t>2.1.3</t>
  </si>
  <si>
    <t>2.1.4</t>
  </si>
  <si>
    <t>2.1.5</t>
  </si>
  <si>
    <t>Execution</t>
  </si>
  <si>
    <t>Finalize system design</t>
  </si>
  <si>
    <t>Database schema design</t>
  </si>
  <si>
    <t>Wireframes and UI design</t>
  </si>
  <si>
    <t>3.1.1</t>
  </si>
  <si>
    <t>1.1.5</t>
  </si>
  <si>
    <t>3.1.1.1</t>
  </si>
  <si>
    <t>3.1.1.2</t>
  </si>
  <si>
    <t>Build</t>
  </si>
  <si>
    <t>Frontend Development</t>
  </si>
  <si>
    <t>Home page</t>
  </si>
  <si>
    <t>Navigation bar with logo</t>
  </si>
  <si>
    <t>Featured colleges section</t>
  </si>
  <si>
    <t>Search and filter options</t>
  </si>
  <si>
    <t>Pagination</t>
  </si>
  <si>
    <t>Responsive layout</t>
  </si>
  <si>
    <t>Footer section</t>
  </si>
  <si>
    <t>3.1.2</t>
  </si>
  <si>
    <t>3.1.2.1</t>
  </si>
  <si>
    <t>3.1.2.2</t>
  </si>
  <si>
    <t>3.1.2.3</t>
  </si>
  <si>
    <t>3.1.2.4</t>
  </si>
  <si>
    <t>3.1.2.5</t>
  </si>
  <si>
    <t>3.1.2.6</t>
  </si>
  <si>
    <t>3.1.2.7</t>
  </si>
  <si>
    <t>User Authentication</t>
  </si>
  <si>
    <t xml:space="preserve"> User login </t>
  </si>
  <si>
    <t>User registration</t>
  </si>
  <si>
    <t>Password encryption using bcrypt</t>
  </si>
  <si>
    <t>Backend development</t>
  </si>
  <si>
    <t>REST API endpoints</t>
  </si>
  <si>
    <t>Express server configuration</t>
  </si>
  <si>
    <t>API configuration</t>
  </si>
  <si>
    <t>Database Development</t>
  </si>
  <si>
    <t>PostgreSQL configuration</t>
  </si>
  <si>
    <t>College data management</t>
  </si>
  <si>
    <t>User data management</t>
  </si>
  <si>
    <t>College Information Module</t>
  </si>
  <si>
    <t>College listing page</t>
  </si>
  <si>
    <t xml:space="preserve"> Course-based filtering</t>
  </si>
  <si>
    <t xml:space="preserve"> Search functionality</t>
  </si>
  <si>
    <t xml:space="preserve"> Display of college details</t>
  </si>
  <si>
    <t>3.1.3</t>
  </si>
  <si>
    <t>3.1.4</t>
  </si>
  <si>
    <t>3.1.5</t>
  </si>
  <si>
    <t>3.1.6</t>
  </si>
  <si>
    <t>Week 4</t>
  </si>
  <si>
    <t>Testing</t>
  </si>
  <si>
    <t>Deployment</t>
  </si>
  <si>
    <t>Week 5</t>
  </si>
  <si>
    <t>Closure</t>
  </si>
  <si>
    <t>IAC Internship Progra 2026- WEB DEVELOPMENT Project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</si>
</sst>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mmm\-yy"/>
    <numFmt numFmtId="165" formatCode="[$-409]d\-mmm\-yy;@"/>
    <numFmt numFmtId="166" formatCode="d"/>
    <numFmt numFmtId="167" formatCode="0.0"/>
  </numFmts>
  <fonts count="29"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
      <sz val="11"/>
      <name val="Calibri"/>
      <family val="2"/>
    </font>
    <font>
      <sz val="8"/>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9" fillId="0" borderId="0" applyNumberFormat="0" applyFill="0" applyBorder="0" applyAlignment="0" applyProtection="0"/>
    <xf numFmtId="0" fontId="26" fillId="0" borderId="0" applyNumberFormat="0" applyFill="0" applyBorder="0" applyAlignment="0" applyProtection="0"/>
  </cellStyleXfs>
  <cellXfs count="138">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9" fillId="0" borderId="0" xfId="2" applyAlignment="1">
      <alignment vertical="top"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xf numFmtId="0" fontId="12" fillId="0" borderId="0" xfId="0" applyFont="1" applyAlignment="1">
      <alignment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15" fontId="12" fillId="0" borderId="7" xfId="0" applyNumberFormat="1" applyFont="1" applyBorder="1"/>
    <xf numFmtId="0" fontId="13" fillId="0" borderId="7" xfId="0" applyFont="1" applyBorder="1" applyAlignment="1">
      <alignment wrapText="1"/>
    </xf>
    <xf numFmtId="0" fontId="15" fillId="0" borderId="0" xfId="0" applyFont="1"/>
    <xf numFmtId="0" fontId="17"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horizontal="right"/>
    </xf>
    <xf numFmtId="0" fontId="11" fillId="6" borderId="7" xfId="0" applyFont="1" applyFill="1" applyBorder="1"/>
    <xf numFmtId="0" fontId="11" fillId="6" borderId="0" xfId="0" applyFont="1" applyFill="1" applyAlignment="1">
      <alignment wrapText="1"/>
    </xf>
    <xf numFmtId="0" fontId="11" fillId="6" borderId="0" xfId="0" applyFont="1" applyFill="1"/>
    <xf numFmtId="165"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8" fillId="0" borderId="0" xfId="1" applyFont="1" applyAlignment="1">
      <alignment horizontal="right"/>
    </xf>
    <xf numFmtId="0" fontId="18" fillId="0" borderId="0" xfId="1" applyFont="1"/>
    <xf numFmtId="0" fontId="19" fillId="0" borderId="0" xfId="1" applyFont="1" applyAlignment="1">
      <alignment wrapText="1"/>
    </xf>
    <xf numFmtId="164" fontId="19" fillId="4" borderId="0" xfId="1" applyNumberFormat="1" applyFont="1" applyFill="1" applyAlignment="1">
      <alignment horizontal="center" vertical="center" wrapText="1"/>
    </xf>
    <xf numFmtId="0" fontId="18" fillId="0" borderId="0" xfId="1" applyFont="1" applyAlignment="1">
      <alignment wrapText="1"/>
    </xf>
    <xf numFmtId="165" fontId="18" fillId="0" borderId="0" xfId="1" applyNumberFormat="1" applyFont="1"/>
    <xf numFmtId="165" fontId="18" fillId="0" borderId="0" xfId="1" applyNumberFormat="1" applyFont="1" applyAlignment="1">
      <alignment wrapText="1"/>
    </xf>
    <xf numFmtId="1" fontId="18" fillId="0" borderId="0" xfId="1" applyNumberFormat="1" applyFont="1" applyAlignment="1">
      <alignment wrapText="1"/>
    </xf>
    <xf numFmtId="1" fontId="18" fillId="0" borderId="0" xfId="1" applyNumberFormat="1" applyFont="1" applyAlignment="1">
      <alignment horizontal="center" vertical="center"/>
    </xf>
    <xf numFmtId="0" fontId="19" fillId="0" borderId="0" xfId="1" applyFont="1" applyAlignment="1">
      <alignment horizontal="center" vertical="center" wrapText="1"/>
    </xf>
    <xf numFmtId="0" fontId="18" fillId="2" borderId="3" xfId="1" applyFont="1" applyFill="1" applyBorder="1"/>
    <xf numFmtId="0" fontId="20" fillId="7" borderId="0" xfId="1" applyFont="1" applyFill="1"/>
    <xf numFmtId="0" fontId="8" fillId="7" borderId="0" xfId="1" applyFill="1" applyAlignment="1">
      <alignment wrapText="1"/>
    </xf>
    <xf numFmtId="0" fontId="22" fillId="0" borderId="0" xfId="0" applyFont="1"/>
    <xf numFmtId="0" fontId="23" fillId="0" borderId="0" xfId="0" applyFont="1"/>
    <xf numFmtId="14" fontId="22" fillId="0" borderId="0" xfId="0" applyNumberFormat="1" applyFont="1"/>
    <xf numFmtId="0" fontId="15"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4" fillId="5" borderId="0" xfId="0" applyFont="1" applyFill="1" applyAlignment="1">
      <alignment horizontal="center"/>
    </xf>
    <xf numFmtId="0" fontId="15" fillId="9" borderId="6" xfId="0" applyFont="1" applyFill="1" applyBorder="1"/>
    <xf numFmtId="0" fontId="0" fillId="9" borderId="4" xfId="0" applyFill="1" applyBorder="1"/>
    <xf numFmtId="0" fontId="15" fillId="9" borderId="17" xfId="0" applyFont="1" applyFill="1" applyBorder="1"/>
    <xf numFmtId="0" fontId="0" fillId="9" borderId="18" xfId="0" applyFill="1" applyBorder="1"/>
    <xf numFmtId="14" fontId="0" fillId="9" borderId="18" xfId="0" applyNumberFormat="1" applyFill="1" applyBorder="1"/>
    <xf numFmtId="0" fontId="15" fillId="9" borderId="3" xfId="0" applyFont="1" applyFill="1" applyBorder="1"/>
    <xf numFmtId="0" fontId="0" fillId="9" borderId="1" xfId="0" applyFill="1" applyBorder="1"/>
    <xf numFmtId="0" fontId="24" fillId="0" borderId="0" xfId="0" applyFont="1"/>
    <xf numFmtId="0" fontId="25" fillId="0" borderId="0" xfId="0" applyFont="1"/>
    <xf numFmtId="0" fontId="0" fillId="4" borderId="0" xfId="0" applyFill="1"/>
    <xf numFmtId="0" fontId="25" fillId="4" borderId="0" xfId="0" applyFont="1" applyFill="1"/>
    <xf numFmtId="1" fontId="2" fillId="5" borderId="0" xfId="1" applyNumberFormat="1" applyFont="1" applyFill="1" applyAlignment="1">
      <alignment horizontal="center" vertical="center"/>
    </xf>
    <xf numFmtId="0" fontId="26" fillId="4" borderId="0" xfId="3" applyFill="1"/>
    <xf numFmtId="0" fontId="26" fillId="0" borderId="0" xfId="3"/>
    <xf numFmtId="15" fontId="18" fillId="2" borderId="1" xfId="1" applyNumberFormat="1" applyFont="1" applyFill="1" applyBorder="1" applyAlignment="1">
      <alignment horizontal="left"/>
    </xf>
    <xf numFmtId="15" fontId="18" fillId="2" borderId="2" xfId="1" applyNumberFormat="1" applyFont="1" applyFill="1" applyBorder="1" applyAlignment="1">
      <alignment horizontal="left"/>
    </xf>
    <xf numFmtId="0" fontId="21" fillId="7" borderId="0" xfId="0" applyFont="1" applyFill="1" applyAlignment="1">
      <alignment horizontal="center" vertical="center"/>
    </xf>
    <xf numFmtId="0" fontId="0" fillId="7" borderId="0" xfId="0" applyFill="1" applyAlignment="1">
      <alignment horizontal="center" vertical="center"/>
    </xf>
    <xf numFmtId="0" fontId="16" fillId="8" borderId="0" xfId="0" applyFont="1" applyFill="1" applyAlignment="1">
      <alignment horizontal="right" vertical="center"/>
    </xf>
    <xf numFmtId="0" fontId="21"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xf numFmtId="0" fontId="2" fillId="7" borderId="0" xfId="1" applyFont="1" applyFill="1" applyAlignment="1">
      <alignment horizontal="right"/>
    </xf>
    <xf numFmtId="0" fontId="27" fillId="0" borderId="0" xfId="1" applyFont="1" applyAlignment="1">
      <alignment wrapText="1"/>
    </xf>
    <xf numFmtId="0" fontId="2" fillId="0" borderId="0" xfId="1" applyFont="1" applyFill="1" applyAlignment="1">
      <alignment wrapText="1"/>
    </xf>
    <xf numFmtId="1" fontId="8" fillId="0" borderId="0" xfId="1" applyNumberFormat="1" applyFont="1" applyAlignment="1">
      <alignment horizontal="center" vertical="center"/>
    </xf>
    <xf numFmtId="0" fontId="10" fillId="7" borderId="0" xfId="1" applyFont="1" applyFill="1" applyAlignment="1">
      <alignment horizontal="right"/>
    </xf>
    <xf numFmtId="0" fontId="2" fillId="7" borderId="0" xfId="1" applyFont="1" applyFill="1"/>
    <xf numFmtId="0" fontId="7" fillId="7" borderId="0" xfId="1" applyFont="1" applyFill="1" applyAlignment="1">
      <alignment wrapText="1"/>
    </xf>
    <xf numFmtId="0" fontId="2" fillId="7" borderId="0" xfId="1" applyFont="1" applyFill="1" applyAlignment="1">
      <alignment wrapText="1"/>
    </xf>
    <xf numFmtId="0" fontId="6" fillId="7" borderId="0" xfId="1" applyFont="1" applyFill="1" applyAlignment="1">
      <alignment wrapText="1"/>
    </xf>
    <xf numFmtId="165" fontId="2" fillId="7" borderId="0" xfId="1" applyNumberFormat="1" applyFont="1" applyFill="1"/>
    <xf numFmtId="1" fontId="2" fillId="7" borderId="0" xfId="1" applyNumberFormat="1" applyFont="1" applyFill="1" applyAlignment="1">
      <alignment wrapText="1"/>
    </xf>
    <xf numFmtId="1" fontId="2" fillId="7" borderId="0" xfId="1" applyNumberFormat="1" applyFont="1" applyFill="1" applyAlignment="1">
      <alignment horizontal="center" vertical="center"/>
    </xf>
    <xf numFmtId="0" fontId="27" fillId="0" borderId="0" xfId="1" applyFont="1" applyFill="1" applyAlignment="1">
      <alignment wrapText="1"/>
    </xf>
  </cellXfs>
  <cellStyles count="4">
    <cellStyle name="Hyperlink" xfId="3" builtinId="8"/>
    <cellStyle name="Hyperlink 2" xfId="2" xr:uid="{8843584B-D199-4298-9002-8C63ACAEE48A}"/>
    <cellStyle name="Normal" xfId="0" builtinId="0"/>
    <cellStyle name="Normal 2" xfId="1" xr:uid="{CC097222-F85D-43A5-8D5A-626EFF7A5126}"/>
  </cellStyles>
  <dxfs count="36">
    <dxf>
      <fill>
        <patternFill>
          <bgColor rgb="FFFF0000"/>
        </patternFill>
      </fill>
    </dxf>
    <dxf>
      <fill>
        <patternFill>
          <bgColor rgb="FF7030A0"/>
        </patternFill>
      </fill>
    </dxf>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FF0000"/>
        </patternFill>
      </fill>
    </dxf>
    <dxf>
      <fill>
        <patternFill>
          <bgColor rgb="FF7030A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s>
  <tableStyles count="0" defaultTableStyle="TableStyleMedium9"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3460B3-AC99-449D-8EF6-1FF68A6B3A0F}" name="Table3" displayName="Table3" ref="A7:N131" totalsRowShown="0" headerRowDxfId="35" dataDxfId="34">
  <autoFilter ref="A7:N131" xr:uid="{0A5F47C8-3179-46F9-BE99-A9B76BAD878C}"/>
  <tableColumns count="14">
    <tableColumn id="1" xr3:uid="{C9904922-FF5D-45A3-B5D3-EF10C1630985}" name="Sr No" dataDxfId="33"/>
    <tableColumn id="2" xr3:uid="{ABEDFEFE-58EE-4C6C-86C4-C9DEBAB6663A}" name="Week/ Duration/ Sprint/ Phase" dataDxfId="32"/>
    <tableColumn id="5" xr3:uid="{ECEE511D-106F-46AD-92EE-E0F87F024F12}" name="Activities" dataDxfId="31"/>
    <tableColumn id="7" xr3:uid="{F638BC36-FF81-4965-9929-AD0DB8943648}" name="Task" dataDxfId="30"/>
    <tableColumn id="8" xr3:uid="{4597D75E-45EF-4C43-A495-0B30BF5528DD}" name="Sub Task" dataDxfId="29"/>
    <tableColumn id="14" xr3:uid="{6B6F32EA-8782-4A93-BB85-8948AEB11118}" name="Dependencies" dataDxfId="28" dataCellStyle="Normal 2"/>
    <tableColumn id="3" xr3:uid="{B22A1ECA-B8A1-494B-A3F1-19F4B0F7B03C}" name="Assigned to" dataDxfId="27"/>
    <tableColumn id="9" xr3:uid="{97CF7C3D-BFDD-4192-9FF7-3F4FF96496FD}" name="Start Date" dataDxfId="26"/>
    <tableColumn id="10" xr3:uid="{AA43FC6C-FFDB-4670-9259-BE02C80EC500}" name="End Date" dataDxfId="25"/>
    <tableColumn id="13" xr3:uid="{55B1DC76-CFD9-4E09-B576-3FB940AC17F2}" name="Actual End Date" dataDxfId="24"/>
    <tableColumn id="11" xr3:uid="{79E62A97-9A5C-462C-8324-B4E64F02D6B1}" name="Hours required" dataDxfId="23"/>
    <tableColumn id="4" xr3:uid="{F0BD2C8A-C5CD-4F3C-87F6-5F3BF237DE80}" name="Status"/>
    <tableColumn id="12" xr3:uid="{32C641F6-883B-4F55-8EDA-A39F8099CBB1}" name="Progress" dataDxfId="22"/>
    <tableColumn id="6" xr3:uid="{C5894069-1CEA-444D-8CE6-47CC2452FD15}" name="Comments" dataDxfId="2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20">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19" dataDxfId="18" tableBorderDxfId="17" totalsRowBorderDxfId="16">
  <tableColumns count="2">
    <tableColumn id="1" xr3:uid="{54E63342-D5F1-204E-986E-873E700F4A6E}" name="Column1" dataDxfId="15"/>
    <tableColumn id="2" xr3:uid="{A8AEF144-B61A-3D45-B88A-D0460BEFD36B}" name="Column2" dataDxfId="14"/>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CE9-48AE-F242-B940-EC261844E8E1}">
  <dimension ref="A2:O31"/>
  <sheetViews>
    <sheetView workbookViewId="0">
      <selection activeCell="P6" sqref="P6"/>
    </sheetView>
  </sheetViews>
  <sheetFormatPr defaultColWidth="11.44140625" defaultRowHeight="14.4" x14ac:dyDescent="0.3"/>
  <cols>
    <col min="1" max="1" width="21.44140625" customWidth="1"/>
  </cols>
  <sheetData>
    <row r="2" spans="1:15" ht="18" x14ac:dyDescent="0.35">
      <c r="A2" s="43" t="s">
        <v>130</v>
      </c>
    </row>
    <row r="4" spans="1:15" x14ac:dyDescent="0.3">
      <c r="A4" t="s">
        <v>0</v>
      </c>
      <c r="B4" s="42" t="s">
        <v>1</v>
      </c>
    </row>
    <row r="5" spans="1:15" x14ac:dyDescent="0.3">
      <c r="A5" t="s">
        <v>2</v>
      </c>
      <c r="B5" s="42" t="s">
        <v>3</v>
      </c>
    </row>
    <row r="6" spans="1:15" x14ac:dyDescent="0.3">
      <c r="A6" t="s">
        <v>4</v>
      </c>
      <c r="B6" t="s">
        <v>5</v>
      </c>
    </row>
    <row r="7" spans="1:15" x14ac:dyDescent="0.3">
      <c r="A7" t="s">
        <v>6</v>
      </c>
      <c r="B7" s="44">
        <v>1</v>
      </c>
    </row>
    <row r="10" spans="1:15" x14ac:dyDescent="0.3">
      <c r="A10" s="95" t="s">
        <v>7</v>
      </c>
    </row>
    <row r="11" spans="1:15" x14ac:dyDescent="0.3">
      <c r="A11" s="94" t="s">
        <v>8</v>
      </c>
    </row>
    <row r="12" spans="1:15" x14ac:dyDescent="0.3">
      <c r="A12" s="94" t="s">
        <v>9</v>
      </c>
    </row>
    <row r="13" spans="1:15" x14ac:dyDescent="0.3">
      <c r="A13" s="94" t="s">
        <v>10</v>
      </c>
    </row>
    <row r="14" spans="1:15" x14ac:dyDescent="0.3">
      <c r="A14" s="97" t="s">
        <v>11</v>
      </c>
      <c r="B14" s="96"/>
      <c r="C14" s="96"/>
      <c r="D14" s="96"/>
      <c r="E14" s="96"/>
      <c r="F14" s="96"/>
      <c r="G14" s="96"/>
    </row>
    <row r="16" spans="1:15" x14ac:dyDescent="0.3">
      <c r="A16" s="99" t="s">
        <v>131</v>
      </c>
      <c r="B16" s="96"/>
      <c r="C16" s="96"/>
      <c r="D16" s="96"/>
      <c r="E16" s="96"/>
      <c r="F16" s="96"/>
      <c r="G16" s="96"/>
      <c r="H16" s="96"/>
      <c r="I16" s="96"/>
      <c r="J16" s="96"/>
      <c r="K16" s="96"/>
      <c r="L16" s="96"/>
      <c r="M16" s="96"/>
      <c r="N16" s="96"/>
      <c r="O16" s="96"/>
    </row>
    <row r="31" spans="5:5" x14ac:dyDescent="0.3">
      <c r="E31" s="42"/>
    </row>
  </sheetData>
  <hyperlinks>
    <hyperlink ref="A16" r:id="rId1" display="Should you face any difficulty in completing the 'Project Schedule', please refer to 'Project Planning' Workshop, https://cloudcounselage.graphy.com/sessions/Project-Planning-64af88dcb308530823e2c19f" xr:uid="{F0D15271-0551-40A8-8ACA-7C80ECE1E8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349-65A8-4C9A-8CBC-B991FAD912E3}">
  <dimension ref="A2:CA1985"/>
  <sheetViews>
    <sheetView tabSelected="1" topLeftCell="A67" zoomScale="80" zoomScaleNormal="80" workbookViewId="0">
      <selection activeCell="I4" sqref="I4"/>
    </sheetView>
  </sheetViews>
  <sheetFormatPr defaultColWidth="8.6640625" defaultRowHeight="13.8" outlineLevelRow="1" x14ac:dyDescent="0.25"/>
  <cols>
    <col min="1" max="1" width="8.6640625" style="7"/>
    <col min="2" max="2" width="8.6640625" style="6"/>
    <col min="3" max="3" width="28.44140625" style="1" customWidth="1"/>
    <col min="4" max="4" width="21.88671875" style="1" customWidth="1"/>
    <col min="5" max="5" width="24.109375" style="1" customWidth="1"/>
    <col min="6" max="6" width="19.44140625" style="1" customWidth="1"/>
    <col min="7" max="7" width="15.44140625" style="1" bestFit="1" customWidth="1"/>
    <col min="8" max="8" width="12.33203125" style="2" bestFit="1" customWidth="1"/>
    <col min="9" max="9" width="11.44140625" style="2" bestFit="1" customWidth="1"/>
    <col min="10" max="10" width="11.44140625" style="3" customWidth="1"/>
    <col min="11" max="11" width="11.44140625" style="4" customWidth="1"/>
    <col min="12" max="12" width="11.44140625" style="2" customWidth="1"/>
    <col min="13" max="13" width="11.44140625" style="5" customWidth="1"/>
    <col min="14" max="14" width="10.44140625" style="1" customWidth="1"/>
    <col min="15" max="15" width="2.44140625" style="6" customWidth="1"/>
    <col min="16" max="16" width="4.109375" style="6" customWidth="1"/>
    <col min="17" max="22" width="3.88671875" style="6" bestFit="1" customWidth="1"/>
    <col min="23" max="23" width="4.109375" style="6" bestFit="1" customWidth="1"/>
    <col min="24" max="24" width="3.44140625" style="6" bestFit="1" customWidth="1"/>
    <col min="25" max="25" width="3.88671875" style="6" bestFit="1" customWidth="1"/>
    <col min="26" max="29" width="3.44140625" style="6" bestFit="1" customWidth="1"/>
    <col min="30" max="30" width="4.109375" style="6" bestFit="1" customWidth="1"/>
    <col min="31" max="31" width="3.44140625" style="6" bestFit="1" customWidth="1"/>
    <col min="32" max="32" width="3.88671875" style="6" bestFit="1" customWidth="1"/>
    <col min="33" max="36" width="3.44140625" style="6" bestFit="1" customWidth="1"/>
    <col min="37" max="37" width="4.109375" style="6" bestFit="1" customWidth="1"/>
    <col min="38" max="38" width="3.44140625" style="6" bestFit="1" customWidth="1"/>
    <col min="39" max="39" width="3.88671875" style="6" bestFit="1" customWidth="1"/>
    <col min="40" max="42" width="3.44140625" style="6" bestFit="1" customWidth="1"/>
    <col min="43" max="43" width="3.88671875" style="6" bestFit="1" customWidth="1"/>
    <col min="44" max="44" width="4.109375" style="6" bestFit="1" customWidth="1"/>
    <col min="45" max="50" width="3.88671875" style="6" bestFit="1" customWidth="1"/>
    <col min="51" max="51" width="4.109375" style="6" bestFit="1" customWidth="1"/>
    <col min="52" max="53" width="3.88671875" style="6" bestFit="1" customWidth="1"/>
    <col min="54" max="57" width="3.44140625" style="6" bestFit="1" customWidth="1"/>
    <col min="58" max="58" width="4.109375" style="6" bestFit="1" customWidth="1"/>
    <col min="59" max="59" width="3.44140625" style="6" bestFit="1" customWidth="1"/>
    <col min="60" max="60" width="3.88671875" style="6" bestFit="1" customWidth="1"/>
    <col min="61" max="64" width="3.44140625" style="6" bestFit="1" customWidth="1"/>
    <col min="65" max="65" width="4.109375" style="6" bestFit="1" customWidth="1"/>
    <col min="66" max="66" width="3.44140625" style="6" bestFit="1" customWidth="1"/>
    <col min="67" max="67" width="3.88671875" style="6" bestFit="1" customWidth="1"/>
    <col min="68" max="71" width="3.44140625" style="6" bestFit="1" customWidth="1"/>
    <col min="72" max="72" width="4.109375" style="6" bestFit="1" customWidth="1"/>
    <col min="73" max="73" width="3.44140625" style="6" bestFit="1" customWidth="1"/>
    <col min="74" max="74" width="3.88671875" style="6" bestFit="1" customWidth="1"/>
    <col min="75" max="78" width="3.44140625" style="6" bestFit="1" customWidth="1"/>
    <col min="79" max="16384" width="8.6640625" style="6"/>
  </cols>
  <sheetData>
    <row r="2" spans="1:78" ht="22.8" x14ac:dyDescent="0.4">
      <c r="C2" s="77" t="s">
        <v>208</v>
      </c>
      <c r="D2" s="78"/>
      <c r="E2" s="78"/>
      <c r="F2" s="78"/>
      <c r="G2" s="78"/>
    </row>
    <row r="4" spans="1:78" s="67" customFormat="1" ht="82.2" x14ac:dyDescent="0.4">
      <c r="A4" s="66"/>
      <c r="C4" s="68" t="s">
        <v>12</v>
      </c>
      <c r="D4" s="69">
        <v>46162</v>
      </c>
      <c r="E4" s="70" t="s">
        <v>133</v>
      </c>
      <c r="F4" s="70"/>
      <c r="G4" s="70"/>
      <c r="H4" s="71"/>
      <c r="I4" s="71"/>
      <c r="J4" s="72"/>
      <c r="K4" s="73"/>
      <c r="L4" s="71"/>
      <c r="M4" s="74"/>
      <c r="N4" s="70"/>
    </row>
    <row r="5" spans="1:78" s="67" customFormat="1" ht="42" x14ac:dyDescent="0.4">
      <c r="A5" s="66"/>
      <c r="C5" s="68" t="s">
        <v>13</v>
      </c>
      <c r="D5" s="75">
        <v>1</v>
      </c>
      <c r="E5" s="70"/>
      <c r="F5" s="70"/>
      <c r="G5" s="70"/>
      <c r="H5" s="71"/>
      <c r="I5" s="71"/>
      <c r="J5" s="72"/>
      <c r="K5" s="73"/>
      <c r="L5" s="71"/>
      <c r="M5" s="74"/>
      <c r="N5" s="70"/>
      <c r="P5" s="101">
        <f>P6</f>
        <v>46160</v>
      </c>
      <c r="Q5" s="102"/>
      <c r="R5" s="102"/>
      <c r="S5" s="102"/>
      <c r="T5" s="102"/>
      <c r="U5" s="102"/>
      <c r="V5" s="76"/>
      <c r="W5" s="101">
        <f>W6</f>
        <v>46167</v>
      </c>
      <c r="X5" s="102"/>
      <c r="Y5" s="102"/>
      <c r="Z5" s="102"/>
      <c r="AA5" s="102"/>
      <c r="AB5" s="102"/>
      <c r="AC5" s="76"/>
      <c r="AD5" s="101">
        <f>AD6</f>
        <v>46174</v>
      </c>
      <c r="AE5" s="102"/>
      <c r="AF5" s="102"/>
      <c r="AG5" s="102"/>
      <c r="AH5" s="102"/>
      <c r="AI5" s="102"/>
      <c r="AJ5" s="76"/>
      <c r="AK5" s="101">
        <f>AK6</f>
        <v>46181</v>
      </c>
      <c r="AL5" s="102"/>
      <c r="AM5" s="102"/>
      <c r="AN5" s="102"/>
      <c r="AO5" s="102"/>
      <c r="AP5" s="102"/>
      <c r="AQ5" s="76"/>
      <c r="AR5" s="101">
        <f>AR6</f>
        <v>46188</v>
      </c>
      <c r="AS5" s="102"/>
      <c r="AT5" s="102"/>
      <c r="AU5" s="102"/>
      <c r="AV5" s="102"/>
      <c r="AW5" s="102"/>
      <c r="AX5" s="76"/>
      <c r="AY5" s="101">
        <f>AY6</f>
        <v>46195</v>
      </c>
      <c r="AZ5" s="102"/>
      <c r="BA5" s="102"/>
      <c r="BB5" s="102"/>
      <c r="BC5" s="102"/>
      <c r="BD5" s="102"/>
      <c r="BE5" s="76"/>
      <c r="BF5" s="101">
        <f>BF6</f>
        <v>46202</v>
      </c>
      <c r="BG5" s="102"/>
      <c r="BH5" s="102"/>
      <c r="BI5" s="102"/>
      <c r="BJ5" s="102"/>
      <c r="BK5" s="102"/>
      <c r="BL5" s="76"/>
      <c r="BM5" s="101">
        <f>BM6</f>
        <v>46209</v>
      </c>
      <c r="BN5" s="102"/>
      <c r="BO5" s="102"/>
      <c r="BP5" s="102"/>
      <c r="BQ5" s="102"/>
      <c r="BR5" s="102"/>
      <c r="BS5" s="76"/>
      <c r="BT5" s="101">
        <f>BT6</f>
        <v>46216</v>
      </c>
      <c r="BU5" s="102"/>
      <c r="BV5" s="102"/>
      <c r="BW5" s="102"/>
      <c r="BX5" s="102"/>
      <c r="BY5" s="102"/>
      <c r="BZ5" s="76"/>
    </row>
    <row r="6" spans="1:78" ht="14.4" x14ac:dyDescent="0.3">
      <c r="C6" s="100" t="s">
        <v>132</v>
      </c>
      <c r="P6" s="8">
        <f>$D$4-WEEKDAY(project_start,3)+(display_week-1)*7</f>
        <v>46160</v>
      </c>
      <c r="Q6" s="9">
        <f t="shared" ref="Q6:BZ6" si="0">P6+1</f>
        <v>46161</v>
      </c>
      <c r="R6" s="9">
        <f t="shared" si="0"/>
        <v>46162</v>
      </c>
      <c r="S6" s="9">
        <f t="shared" si="0"/>
        <v>46163</v>
      </c>
      <c r="T6" s="9">
        <f t="shared" si="0"/>
        <v>46164</v>
      </c>
      <c r="U6" s="9">
        <f t="shared" si="0"/>
        <v>46165</v>
      </c>
      <c r="V6" s="10">
        <f t="shared" si="0"/>
        <v>46166</v>
      </c>
      <c r="W6" s="8">
        <f t="shared" si="0"/>
        <v>46167</v>
      </c>
      <c r="X6" s="9">
        <f t="shared" si="0"/>
        <v>46168</v>
      </c>
      <c r="Y6" s="9">
        <f t="shared" si="0"/>
        <v>46169</v>
      </c>
      <c r="Z6" s="9">
        <f t="shared" si="0"/>
        <v>46170</v>
      </c>
      <c r="AA6" s="9">
        <f t="shared" si="0"/>
        <v>46171</v>
      </c>
      <c r="AB6" s="9">
        <f t="shared" si="0"/>
        <v>46172</v>
      </c>
      <c r="AC6" s="10">
        <f t="shared" si="0"/>
        <v>46173</v>
      </c>
      <c r="AD6" s="8">
        <f t="shared" si="0"/>
        <v>46174</v>
      </c>
      <c r="AE6" s="9">
        <f t="shared" si="0"/>
        <v>46175</v>
      </c>
      <c r="AF6" s="9">
        <f t="shared" si="0"/>
        <v>46176</v>
      </c>
      <c r="AG6" s="9">
        <f t="shared" si="0"/>
        <v>46177</v>
      </c>
      <c r="AH6" s="9">
        <f t="shared" si="0"/>
        <v>46178</v>
      </c>
      <c r="AI6" s="9">
        <f t="shared" si="0"/>
        <v>46179</v>
      </c>
      <c r="AJ6" s="10">
        <f t="shared" si="0"/>
        <v>46180</v>
      </c>
      <c r="AK6" s="8">
        <f t="shared" si="0"/>
        <v>46181</v>
      </c>
      <c r="AL6" s="9">
        <f t="shared" si="0"/>
        <v>46182</v>
      </c>
      <c r="AM6" s="9">
        <f t="shared" si="0"/>
        <v>46183</v>
      </c>
      <c r="AN6" s="9">
        <f t="shared" si="0"/>
        <v>46184</v>
      </c>
      <c r="AO6" s="9">
        <f t="shared" si="0"/>
        <v>46185</v>
      </c>
      <c r="AP6" s="9">
        <f t="shared" si="0"/>
        <v>46186</v>
      </c>
      <c r="AQ6" s="10">
        <f t="shared" si="0"/>
        <v>46187</v>
      </c>
      <c r="AR6" s="8">
        <f t="shared" si="0"/>
        <v>46188</v>
      </c>
      <c r="AS6" s="9">
        <f t="shared" si="0"/>
        <v>46189</v>
      </c>
      <c r="AT6" s="9">
        <f t="shared" si="0"/>
        <v>46190</v>
      </c>
      <c r="AU6" s="9">
        <f t="shared" si="0"/>
        <v>46191</v>
      </c>
      <c r="AV6" s="9">
        <f t="shared" si="0"/>
        <v>46192</v>
      </c>
      <c r="AW6" s="9">
        <f t="shared" si="0"/>
        <v>46193</v>
      </c>
      <c r="AX6" s="10">
        <f t="shared" si="0"/>
        <v>46194</v>
      </c>
      <c r="AY6" s="8">
        <f t="shared" si="0"/>
        <v>46195</v>
      </c>
      <c r="AZ6" s="9">
        <f t="shared" si="0"/>
        <v>46196</v>
      </c>
      <c r="BA6" s="9">
        <f t="shared" si="0"/>
        <v>46197</v>
      </c>
      <c r="BB6" s="9">
        <f t="shared" si="0"/>
        <v>46198</v>
      </c>
      <c r="BC6" s="9">
        <f t="shared" si="0"/>
        <v>46199</v>
      </c>
      <c r="BD6" s="9">
        <f t="shared" si="0"/>
        <v>46200</v>
      </c>
      <c r="BE6" s="10">
        <f t="shared" si="0"/>
        <v>46201</v>
      </c>
      <c r="BF6" s="8">
        <f t="shared" si="0"/>
        <v>46202</v>
      </c>
      <c r="BG6" s="9">
        <f t="shared" si="0"/>
        <v>46203</v>
      </c>
      <c r="BH6" s="9">
        <f t="shared" si="0"/>
        <v>46204</v>
      </c>
      <c r="BI6" s="9">
        <f t="shared" si="0"/>
        <v>46205</v>
      </c>
      <c r="BJ6" s="9">
        <f t="shared" si="0"/>
        <v>46206</v>
      </c>
      <c r="BK6" s="9">
        <f t="shared" si="0"/>
        <v>46207</v>
      </c>
      <c r="BL6" s="10">
        <f t="shared" si="0"/>
        <v>46208</v>
      </c>
      <c r="BM6" s="8">
        <f t="shared" si="0"/>
        <v>46209</v>
      </c>
      <c r="BN6" s="9">
        <f t="shared" si="0"/>
        <v>46210</v>
      </c>
      <c r="BO6" s="9">
        <f t="shared" si="0"/>
        <v>46211</v>
      </c>
      <c r="BP6" s="9">
        <f t="shared" si="0"/>
        <v>46212</v>
      </c>
      <c r="BQ6" s="9">
        <f t="shared" si="0"/>
        <v>46213</v>
      </c>
      <c r="BR6" s="9">
        <f t="shared" si="0"/>
        <v>46214</v>
      </c>
      <c r="BS6" s="10">
        <f t="shared" si="0"/>
        <v>46215</v>
      </c>
      <c r="BT6" s="8">
        <f t="shared" si="0"/>
        <v>46216</v>
      </c>
      <c r="BU6" s="9">
        <f t="shared" si="0"/>
        <v>46217</v>
      </c>
      <c r="BV6" s="9">
        <f t="shared" si="0"/>
        <v>46218</v>
      </c>
      <c r="BW6" s="9">
        <f t="shared" si="0"/>
        <v>46219</v>
      </c>
      <c r="BX6" s="9">
        <f t="shared" si="0"/>
        <v>46220</v>
      </c>
      <c r="BY6" s="9">
        <f t="shared" si="0"/>
        <v>46221</v>
      </c>
      <c r="BZ6" s="10">
        <f t="shared" si="0"/>
        <v>46222</v>
      </c>
    </row>
    <row r="7" spans="1:78" ht="28.8" x14ac:dyDescent="0.25">
      <c r="A7" s="45" t="s">
        <v>14</v>
      </c>
      <c r="B7" s="46" t="s">
        <v>15</v>
      </c>
      <c r="C7" s="47" t="s">
        <v>16</v>
      </c>
      <c r="D7" s="47" t="s">
        <v>17</v>
      </c>
      <c r="E7" s="47" t="s">
        <v>18</v>
      </c>
      <c r="F7" s="47" t="s">
        <v>19</v>
      </c>
      <c r="G7" s="47" t="s">
        <v>20</v>
      </c>
      <c r="H7" s="48" t="s">
        <v>21</v>
      </c>
      <c r="I7" s="48" t="s">
        <v>22</v>
      </c>
      <c r="J7" s="49" t="s">
        <v>23</v>
      </c>
      <c r="K7" s="50" t="s">
        <v>24</v>
      </c>
      <c r="L7" s="48" t="s">
        <v>25</v>
      </c>
      <c r="M7" s="98" t="s">
        <v>26</v>
      </c>
      <c r="N7" s="47" t="s">
        <v>27</v>
      </c>
      <c r="P7" s="11" t="str">
        <f t="shared" ref="P7:BZ7" si="1">LEFT(TEXT(P6,"ddd"),1)</f>
        <v>M</v>
      </c>
      <c r="Q7" s="11" t="str">
        <f t="shared" si="1"/>
        <v>T</v>
      </c>
      <c r="R7" s="11" t="str">
        <f t="shared" si="1"/>
        <v>W</v>
      </c>
      <c r="S7" s="11" t="str">
        <f t="shared" si="1"/>
        <v>T</v>
      </c>
      <c r="T7" s="11" t="str">
        <f t="shared" si="1"/>
        <v>F</v>
      </c>
      <c r="U7" s="11" t="str">
        <f t="shared" si="1"/>
        <v>S</v>
      </c>
      <c r="V7" s="11" t="str">
        <f t="shared" si="1"/>
        <v>S</v>
      </c>
      <c r="W7" s="11" t="str">
        <f t="shared" si="1"/>
        <v>M</v>
      </c>
      <c r="X7" s="11" t="str">
        <f t="shared" si="1"/>
        <v>T</v>
      </c>
      <c r="Y7" s="11" t="str">
        <f t="shared" si="1"/>
        <v>W</v>
      </c>
      <c r="Z7" s="11" t="str">
        <f t="shared" si="1"/>
        <v>T</v>
      </c>
      <c r="AA7" s="11" t="str">
        <f t="shared" si="1"/>
        <v>F</v>
      </c>
      <c r="AB7" s="11" t="str">
        <f t="shared" si="1"/>
        <v>S</v>
      </c>
      <c r="AC7" s="11" t="str">
        <f t="shared" si="1"/>
        <v>S</v>
      </c>
      <c r="AD7" s="11" t="str">
        <f t="shared" si="1"/>
        <v>M</v>
      </c>
      <c r="AE7" s="11" t="str">
        <f t="shared" si="1"/>
        <v>T</v>
      </c>
      <c r="AF7" s="11" t="str">
        <f t="shared" si="1"/>
        <v>W</v>
      </c>
      <c r="AG7" s="11" t="str">
        <f t="shared" si="1"/>
        <v>T</v>
      </c>
      <c r="AH7" s="11" t="str">
        <f t="shared" si="1"/>
        <v>F</v>
      </c>
      <c r="AI7" s="11" t="str">
        <f t="shared" si="1"/>
        <v>S</v>
      </c>
      <c r="AJ7" s="11" t="str">
        <f t="shared" si="1"/>
        <v>S</v>
      </c>
      <c r="AK7" s="11" t="str">
        <f t="shared" si="1"/>
        <v>M</v>
      </c>
      <c r="AL7" s="11" t="str">
        <f t="shared" si="1"/>
        <v>T</v>
      </c>
      <c r="AM7" s="11" t="str">
        <f t="shared" si="1"/>
        <v>W</v>
      </c>
      <c r="AN7" s="11" t="str">
        <f t="shared" si="1"/>
        <v>T</v>
      </c>
      <c r="AO7" s="11" t="str">
        <f t="shared" si="1"/>
        <v>F</v>
      </c>
      <c r="AP7" s="11" t="str">
        <f t="shared" si="1"/>
        <v>S</v>
      </c>
      <c r="AQ7" s="11" t="str">
        <f t="shared" si="1"/>
        <v>S</v>
      </c>
      <c r="AR7" s="11" t="str">
        <f t="shared" si="1"/>
        <v>M</v>
      </c>
      <c r="AS7" s="11" t="str">
        <f t="shared" si="1"/>
        <v>T</v>
      </c>
      <c r="AT7" s="11" t="str">
        <f t="shared" si="1"/>
        <v>W</v>
      </c>
      <c r="AU7" s="11" t="str">
        <f t="shared" si="1"/>
        <v>T</v>
      </c>
      <c r="AV7" s="11" t="str">
        <f t="shared" si="1"/>
        <v>F</v>
      </c>
      <c r="AW7" s="11" t="str">
        <f t="shared" si="1"/>
        <v>S</v>
      </c>
      <c r="AX7" s="11" t="str">
        <f t="shared" si="1"/>
        <v>S</v>
      </c>
      <c r="AY7" s="11" t="str">
        <f t="shared" si="1"/>
        <v>M</v>
      </c>
      <c r="AZ7" s="11" t="str">
        <f t="shared" si="1"/>
        <v>T</v>
      </c>
      <c r="BA7" s="11" t="str">
        <f t="shared" si="1"/>
        <v>W</v>
      </c>
      <c r="BB7" s="11" t="str">
        <f t="shared" si="1"/>
        <v>T</v>
      </c>
      <c r="BC7" s="11" t="str">
        <f t="shared" si="1"/>
        <v>F</v>
      </c>
      <c r="BD7" s="11" t="str">
        <f t="shared" si="1"/>
        <v>S</v>
      </c>
      <c r="BE7" s="11" t="str">
        <f t="shared" si="1"/>
        <v>S</v>
      </c>
      <c r="BF7" s="11" t="str">
        <f t="shared" si="1"/>
        <v>M</v>
      </c>
      <c r="BG7" s="11" t="str">
        <f t="shared" si="1"/>
        <v>T</v>
      </c>
      <c r="BH7" s="11" t="str">
        <f t="shared" si="1"/>
        <v>W</v>
      </c>
      <c r="BI7" s="11" t="str">
        <f t="shared" si="1"/>
        <v>T</v>
      </c>
      <c r="BJ7" s="11" t="str">
        <f t="shared" si="1"/>
        <v>F</v>
      </c>
      <c r="BK7" s="11" t="str">
        <f t="shared" si="1"/>
        <v>S</v>
      </c>
      <c r="BL7" s="11" t="str">
        <f t="shared" si="1"/>
        <v>S</v>
      </c>
      <c r="BM7" s="11" t="str">
        <f t="shared" si="1"/>
        <v>M</v>
      </c>
      <c r="BN7" s="11" t="str">
        <f t="shared" si="1"/>
        <v>T</v>
      </c>
      <c r="BO7" s="11" t="str">
        <f t="shared" si="1"/>
        <v>W</v>
      </c>
      <c r="BP7" s="11" t="str">
        <f t="shared" si="1"/>
        <v>T</v>
      </c>
      <c r="BQ7" s="11" t="str">
        <f t="shared" si="1"/>
        <v>F</v>
      </c>
      <c r="BR7" s="11" t="str">
        <f t="shared" si="1"/>
        <v>S</v>
      </c>
      <c r="BS7" s="11" t="str">
        <f t="shared" si="1"/>
        <v>S</v>
      </c>
      <c r="BT7" s="11" t="str">
        <f t="shared" si="1"/>
        <v>M</v>
      </c>
      <c r="BU7" s="11" t="str">
        <f t="shared" si="1"/>
        <v>T</v>
      </c>
      <c r="BV7" s="11" t="str">
        <f t="shared" si="1"/>
        <v>W</v>
      </c>
      <c r="BW7" s="11" t="str">
        <f t="shared" si="1"/>
        <v>T</v>
      </c>
      <c r="BX7" s="11" t="str">
        <f t="shared" si="1"/>
        <v>F</v>
      </c>
      <c r="BY7" s="11" t="str">
        <f t="shared" si="1"/>
        <v>S</v>
      </c>
      <c r="BZ7" s="11" t="str">
        <f t="shared" si="1"/>
        <v>S</v>
      </c>
    </row>
    <row r="8" spans="1:78" s="58" customFormat="1" ht="18.75" customHeight="1" x14ac:dyDescent="0.3">
      <c r="A8" s="51">
        <v>1</v>
      </c>
      <c r="B8" s="52" t="s">
        <v>134</v>
      </c>
      <c r="C8" s="53"/>
      <c r="D8" s="53"/>
      <c r="E8" s="53"/>
      <c r="F8" s="53"/>
      <c r="G8" s="53"/>
      <c r="H8" s="54"/>
      <c r="I8" s="54"/>
      <c r="J8" s="53"/>
      <c r="K8" s="53"/>
      <c r="L8" s="55"/>
      <c r="M8" s="56"/>
      <c r="N8" s="57"/>
    </row>
    <row r="9" spans="1:78" ht="14.4" outlineLevel="1" x14ac:dyDescent="0.3">
      <c r="A9" s="36">
        <v>1.1000000000000001</v>
      </c>
      <c r="B9" s="37"/>
      <c r="C9" s="38" t="s">
        <v>135</v>
      </c>
      <c r="D9" s="38"/>
      <c r="E9" s="38"/>
      <c r="F9" s="38"/>
      <c r="G9" s="39"/>
      <c r="H9" s="40">
        <v>46162</v>
      </c>
      <c r="I9" s="40">
        <v>46166</v>
      </c>
      <c r="J9" s="33"/>
      <c r="K9" s="33">
        <v>10</v>
      </c>
      <c r="L9" s="17" t="s">
        <v>150</v>
      </c>
      <c r="M9" s="20"/>
      <c r="N9" s="15"/>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7.75" customHeight="1" outlineLevel="1" x14ac:dyDescent="0.3">
      <c r="A10" s="36" t="s">
        <v>29</v>
      </c>
      <c r="B10" s="37"/>
      <c r="C10" s="41" t="s">
        <v>28</v>
      </c>
      <c r="D10" s="38" t="s">
        <v>136</v>
      </c>
      <c r="E10" s="38"/>
      <c r="F10" s="38" t="s">
        <v>141</v>
      </c>
      <c r="G10" s="39"/>
      <c r="H10" s="40">
        <v>46162</v>
      </c>
      <c r="I10" s="40">
        <v>46166</v>
      </c>
      <c r="J10" s="32"/>
      <c r="K10" s="33">
        <v>2</v>
      </c>
      <c r="L10" s="17" t="s">
        <v>150</v>
      </c>
      <c r="M10" s="20"/>
      <c r="N10" s="15"/>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7.75" customHeight="1" outlineLevel="1" x14ac:dyDescent="0.3">
      <c r="A11" s="36" t="s">
        <v>30</v>
      </c>
      <c r="B11" s="37"/>
      <c r="C11" s="41" t="s">
        <v>28</v>
      </c>
      <c r="D11" s="38" t="s">
        <v>137</v>
      </c>
      <c r="E11" s="38"/>
      <c r="F11" s="38"/>
      <c r="G11" s="39"/>
      <c r="H11" s="40">
        <v>46162</v>
      </c>
      <c r="I11" s="40">
        <v>46166</v>
      </c>
      <c r="J11" s="34"/>
      <c r="K11" s="35">
        <v>3</v>
      </c>
      <c r="L11" s="17" t="s">
        <v>150</v>
      </c>
      <c r="N11" s="15"/>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27.75" customHeight="1" outlineLevel="1" x14ac:dyDescent="0.3">
      <c r="A12" s="36" t="s">
        <v>31</v>
      </c>
      <c r="B12" s="37"/>
      <c r="C12" s="41" t="s">
        <v>28</v>
      </c>
      <c r="D12" s="38" t="s">
        <v>138</v>
      </c>
      <c r="E12" s="38"/>
      <c r="F12" s="38"/>
      <c r="G12" s="39"/>
      <c r="H12" s="40">
        <v>46162</v>
      </c>
      <c r="I12" s="40">
        <v>46166</v>
      </c>
      <c r="J12" s="34"/>
      <c r="K12" s="35">
        <v>3</v>
      </c>
      <c r="L12" s="17" t="s">
        <v>150</v>
      </c>
      <c r="N12" s="15"/>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14.4" outlineLevel="1" x14ac:dyDescent="0.3">
      <c r="A13" s="36" t="s">
        <v>32</v>
      </c>
      <c r="B13" s="37"/>
      <c r="C13" s="41" t="s">
        <v>28</v>
      </c>
      <c r="D13" s="38" t="s">
        <v>139</v>
      </c>
      <c r="E13" s="38"/>
      <c r="F13" s="38"/>
      <c r="G13" s="39"/>
      <c r="H13" s="40">
        <v>46162</v>
      </c>
      <c r="I13" s="40">
        <v>46166</v>
      </c>
      <c r="J13" s="32"/>
      <c r="K13" s="33">
        <v>5</v>
      </c>
      <c r="L13" s="17" t="s">
        <v>150</v>
      </c>
      <c r="N13" s="15"/>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14.4" outlineLevel="1" x14ac:dyDescent="0.3">
      <c r="A14" s="36" t="s">
        <v>162</v>
      </c>
      <c r="B14" s="37"/>
      <c r="C14" s="38"/>
      <c r="D14" t="s">
        <v>140</v>
      </c>
      <c r="E14" s="38"/>
      <c r="F14" s="38"/>
      <c r="G14" s="39"/>
      <c r="H14" s="40">
        <v>46162</v>
      </c>
      <c r="I14" s="40">
        <v>46166</v>
      </c>
      <c r="J14" s="34"/>
      <c r="K14" s="35">
        <v>6</v>
      </c>
      <c r="L14" s="17" t="s">
        <v>150</v>
      </c>
      <c r="N14" s="15"/>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ht="14.4" outlineLevel="1" x14ac:dyDescent="0.3">
      <c r="A15" s="36"/>
      <c r="B15" s="37"/>
      <c r="C15" s="41"/>
      <c r="D15" s="38"/>
      <c r="E15" s="38"/>
      <c r="F15" s="38"/>
      <c r="G15" s="39"/>
      <c r="H15" s="37"/>
      <c r="I15" s="37"/>
      <c r="J15" s="34"/>
      <c r="K15" s="35"/>
      <c r="L15" s="17"/>
      <c r="N15" s="15"/>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14.4" outlineLevel="1" x14ac:dyDescent="0.3">
      <c r="A16" s="36"/>
      <c r="B16" s="37"/>
      <c r="C16" s="41"/>
      <c r="D16" s="38"/>
      <c r="E16" s="38"/>
      <c r="F16" s="38"/>
      <c r="G16" s="39"/>
      <c r="H16" s="37"/>
      <c r="I16" s="37"/>
      <c r="J16" s="34"/>
      <c r="K16" s="35"/>
      <c r="L16" s="17"/>
      <c r="N16" s="15"/>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9" ht="14.4" outlineLevel="1" x14ac:dyDescent="0.3">
      <c r="A17" s="36"/>
      <c r="B17" s="37"/>
      <c r="C17" s="41"/>
      <c r="D17" s="38"/>
      <c r="E17" s="38"/>
      <c r="F17" s="38"/>
      <c r="G17" s="39"/>
      <c r="H17" s="37"/>
      <c r="I17" s="37"/>
      <c r="J17" s="34"/>
      <c r="K17" s="35"/>
      <c r="L17" s="17"/>
      <c r="N17" s="15"/>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9" s="60" customFormat="1" ht="17.25" customHeight="1" x14ac:dyDescent="0.3">
      <c r="A18" s="51">
        <v>2</v>
      </c>
      <c r="B18" s="52" t="s">
        <v>142</v>
      </c>
      <c r="C18" s="53"/>
      <c r="D18" s="53"/>
      <c r="E18" s="53"/>
      <c r="F18" s="53"/>
      <c r="G18" s="53"/>
      <c r="H18" s="54"/>
      <c r="I18" s="54"/>
      <c r="J18" s="53"/>
      <c r="K18" s="53"/>
      <c r="L18" s="55"/>
      <c r="M18" s="56"/>
      <c r="N18" s="59"/>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row>
    <row r="19" spans="1:79" ht="14.4" outlineLevel="1" x14ac:dyDescent="0.3">
      <c r="A19" s="31">
        <v>2.1</v>
      </c>
      <c r="B19" s="32"/>
      <c r="C19" s="33" t="s">
        <v>143</v>
      </c>
      <c r="D19" s="33"/>
      <c r="E19" s="33"/>
      <c r="F19" s="33"/>
      <c r="G19" s="33"/>
      <c r="H19" s="32"/>
      <c r="I19" s="32"/>
      <c r="J19" s="33"/>
      <c r="K19" s="33"/>
      <c r="L19" s="17"/>
      <c r="M19" s="20"/>
      <c r="N19" s="15"/>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9" ht="26.25" customHeight="1" outlineLevel="1" x14ac:dyDescent="0.3">
      <c r="A20" s="13" t="s">
        <v>153</v>
      </c>
      <c r="B20" s="14"/>
      <c r="C20" s="21"/>
      <c r="D20" t="s">
        <v>144</v>
      </c>
      <c r="E20" s="15"/>
      <c r="F20" s="15" t="s">
        <v>145</v>
      </c>
      <c r="G20" s="16"/>
      <c r="H20" s="40">
        <v>46167</v>
      </c>
      <c r="I20" s="40">
        <v>46169</v>
      </c>
      <c r="J20" s="17"/>
      <c r="K20" s="19">
        <v>3</v>
      </c>
      <c r="L20" s="17" t="s">
        <v>150</v>
      </c>
      <c r="M20" s="20"/>
      <c r="N20" s="15"/>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79" ht="14.4" outlineLevel="1" x14ac:dyDescent="0.3">
      <c r="A21" s="13" t="s">
        <v>152</v>
      </c>
      <c r="B21" s="14"/>
      <c r="C21" s="15"/>
      <c r="D21" t="s">
        <v>146</v>
      </c>
      <c r="E21" s="15"/>
      <c r="F21" s="15"/>
      <c r="G21" s="15"/>
      <c r="H21" s="40">
        <v>46167</v>
      </c>
      <c r="I21" s="40">
        <v>46169</v>
      </c>
      <c r="J21" s="18"/>
      <c r="K21" s="19">
        <v>3</v>
      </c>
      <c r="L21" s="17" t="s">
        <v>150</v>
      </c>
      <c r="M21" s="20"/>
      <c r="N21" s="15"/>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9" ht="27" customHeight="1" outlineLevel="1" x14ac:dyDescent="0.3">
      <c r="A22" s="13" t="s">
        <v>154</v>
      </c>
      <c r="B22" s="14"/>
      <c r="C22" s="21"/>
      <c r="D22" t="s">
        <v>147</v>
      </c>
      <c r="E22" s="15"/>
      <c r="F22" s="15"/>
      <c r="G22" s="16"/>
      <c r="H22" s="40">
        <v>46167</v>
      </c>
      <c r="I22" s="40">
        <v>46169</v>
      </c>
      <c r="J22" s="17"/>
      <c r="K22" s="19">
        <v>2</v>
      </c>
      <c r="L22" s="17" t="s">
        <v>150</v>
      </c>
      <c r="M22" s="20"/>
      <c r="N22" s="15"/>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9" ht="14.4" outlineLevel="1" x14ac:dyDescent="0.3">
      <c r="A23" s="13" t="s">
        <v>155</v>
      </c>
      <c r="B23" s="14"/>
      <c r="C23" s="15"/>
      <c r="D23" t="s">
        <v>148</v>
      </c>
      <c r="E23" s="15"/>
      <c r="F23" s="15"/>
      <c r="G23" s="15"/>
      <c r="H23" s="40">
        <v>46167</v>
      </c>
      <c r="I23" s="40">
        <v>46169</v>
      </c>
      <c r="J23" s="18"/>
      <c r="K23" s="19">
        <v>2</v>
      </c>
      <c r="L23" s="17" t="s">
        <v>150</v>
      </c>
      <c r="M23" s="20"/>
      <c r="N23" s="15"/>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79" ht="14.4" outlineLevel="1" x14ac:dyDescent="0.3">
      <c r="A24" s="13" t="s">
        <v>156</v>
      </c>
      <c r="B24" s="14"/>
      <c r="C24" s="21"/>
      <c r="D24" t="s">
        <v>149</v>
      </c>
      <c r="E24" s="15"/>
      <c r="F24" s="15"/>
      <c r="G24" s="16"/>
      <c r="H24" s="40">
        <v>46167</v>
      </c>
      <c r="I24" s="40">
        <v>46169</v>
      </c>
      <c r="J24" s="17"/>
      <c r="K24" s="19">
        <v>10</v>
      </c>
      <c r="L24" s="17" t="s">
        <v>150</v>
      </c>
      <c r="M24" s="20"/>
      <c r="N24" s="15"/>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9" ht="30.75" customHeight="1" outlineLevel="1" x14ac:dyDescent="0.3">
      <c r="A25" s="13"/>
      <c r="B25" s="14"/>
      <c r="C25" s="21"/>
      <c r="D25" s="15"/>
      <c r="E25" s="15"/>
      <c r="F25" s="15"/>
      <c r="G25" s="16"/>
      <c r="H25" s="17"/>
      <c r="I25" s="17"/>
      <c r="J25" s="17"/>
      <c r="K25" s="19"/>
      <c r="L25" s="17"/>
      <c r="M25" s="20"/>
      <c r="N25" s="15"/>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9" ht="29.25" customHeight="1" outlineLevel="1" x14ac:dyDescent="0.3">
      <c r="A26" s="65">
        <v>3</v>
      </c>
      <c r="B26" s="65" t="s">
        <v>151</v>
      </c>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row>
    <row r="27" spans="1:79" ht="44.25" customHeight="1" outlineLevel="1" x14ac:dyDescent="0.3">
      <c r="A27" s="13">
        <v>3.1</v>
      </c>
      <c r="B27" s="14"/>
      <c r="C27" s="126" t="s">
        <v>157</v>
      </c>
      <c r="D27" s="21"/>
      <c r="E27" s="15"/>
      <c r="F27" s="15"/>
      <c r="G27" s="16"/>
      <c r="H27" s="17"/>
      <c r="I27" s="17"/>
      <c r="J27" s="17"/>
      <c r="K27" s="19"/>
      <c r="L27" s="17"/>
      <c r="M27" s="20"/>
      <c r="N27" s="15"/>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79" ht="22.5" customHeight="1" outlineLevel="1" x14ac:dyDescent="0.3">
      <c r="A28" s="13" t="s">
        <v>161</v>
      </c>
      <c r="B28" s="14"/>
      <c r="C28" s="21"/>
      <c r="D28" t="s">
        <v>158</v>
      </c>
      <c r="E28" s="15"/>
      <c r="F28" s="15"/>
      <c r="G28" s="16"/>
      <c r="H28" s="40">
        <v>46170</v>
      </c>
      <c r="I28" s="40">
        <v>46171</v>
      </c>
      <c r="J28" s="17"/>
      <c r="K28" s="19">
        <v>2</v>
      </c>
      <c r="L28" s="17" t="s">
        <v>150</v>
      </c>
      <c r="M28" s="20"/>
      <c r="N28" s="23"/>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9" ht="30.75" customHeight="1" outlineLevel="1" x14ac:dyDescent="0.3">
      <c r="A29" s="13" t="s">
        <v>163</v>
      </c>
      <c r="B29" s="14"/>
      <c r="C29" s="21"/>
      <c r="D29" s="15"/>
      <c r="E29" t="s">
        <v>159</v>
      </c>
      <c r="F29" s="15"/>
      <c r="G29" s="16"/>
      <c r="H29" s="40">
        <v>46170</v>
      </c>
      <c r="I29" s="40">
        <v>46171</v>
      </c>
      <c r="J29" s="17"/>
      <c r="K29" s="19"/>
      <c r="L29" s="17" t="s">
        <v>150</v>
      </c>
      <c r="M29" s="20"/>
      <c r="N29" s="15"/>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9" ht="14.4" outlineLevel="1" x14ac:dyDescent="0.3">
      <c r="A30" s="13" t="s">
        <v>164</v>
      </c>
      <c r="B30" s="14"/>
      <c r="C30" s="21"/>
      <c r="D30" s="15"/>
      <c r="E30" t="s">
        <v>160</v>
      </c>
      <c r="F30" s="15"/>
      <c r="G30" s="16"/>
      <c r="H30" s="40">
        <v>46170</v>
      </c>
      <c r="I30" s="40">
        <v>46171</v>
      </c>
      <c r="J30" s="17"/>
      <c r="K30" s="19"/>
      <c r="L30" s="17" t="s">
        <v>150</v>
      </c>
      <c r="M30" s="20"/>
      <c r="N30" s="15"/>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79" ht="14.4" outlineLevel="1" x14ac:dyDescent="0.3">
      <c r="A31" s="13"/>
      <c r="B31" s="14"/>
      <c r="C31" s="21"/>
      <c r="D31" s="21"/>
      <c r="E31" s="15"/>
      <c r="F31" s="15"/>
      <c r="G31" s="16"/>
      <c r="H31" s="17"/>
      <c r="I31" s="17"/>
      <c r="J31" s="17"/>
      <c r="K31" s="19"/>
      <c r="L31" s="17" t="s">
        <v>150</v>
      </c>
      <c r="M31" s="20"/>
      <c r="N31" s="15"/>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9" ht="14.4" outlineLevel="1" x14ac:dyDescent="0.3">
      <c r="A32" s="13" t="s">
        <v>174</v>
      </c>
      <c r="B32" s="14"/>
      <c r="C32" s="21"/>
      <c r="D32" s="126" t="s">
        <v>165</v>
      </c>
      <c r="E32" s="15"/>
      <c r="F32" s="15"/>
      <c r="G32" s="16"/>
      <c r="H32" s="40">
        <v>46171</v>
      </c>
      <c r="I32" s="17">
        <v>46183</v>
      </c>
      <c r="J32" s="17"/>
      <c r="K32" s="19">
        <v>47</v>
      </c>
      <c r="L32" s="17" t="s">
        <v>150</v>
      </c>
      <c r="N32" s="15"/>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ht="14.4" outlineLevel="1" x14ac:dyDescent="0.3">
      <c r="A33" s="13" t="s">
        <v>175</v>
      </c>
      <c r="B33" s="14"/>
      <c r="C33" s="21"/>
      <c r="D33" s="15"/>
      <c r="E33" t="s">
        <v>166</v>
      </c>
      <c r="F33" s="15"/>
      <c r="G33" s="15"/>
      <c r="H33" s="40">
        <v>46171</v>
      </c>
      <c r="I33" s="17">
        <v>46183</v>
      </c>
      <c r="J33" s="18"/>
      <c r="K33" s="19"/>
      <c r="L33" s="17" t="s">
        <v>150</v>
      </c>
      <c r="N33" s="15"/>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14.4" outlineLevel="1" x14ac:dyDescent="0.3">
      <c r="A34" s="13" t="s">
        <v>176</v>
      </c>
      <c r="B34" s="14"/>
      <c r="C34" s="21"/>
      <c r="D34" s="21"/>
      <c r="E34" t="s">
        <v>167</v>
      </c>
      <c r="F34" s="15"/>
      <c r="G34" s="16"/>
      <c r="H34" s="40">
        <v>46171</v>
      </c>
      <c r="I34" s="17">
        <v>46183</v>
      </c>
      <c r="J34" s="17"/>
      <c r="K34" s="19"/>
      <c r="L34" s="17" t="s">
        <v>150</v>
      </c>
      <c r="N34" s="15"/>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14.4" outlineLevel="1" x14ac:dyDescent="0.3">
      <c r="A35" s="13" t="s">
        <v>177</v>
      </c>
      <c r="B35" s="14"/>
      <c r="C35" s="21"/>
      <c r="D35" s="21"/>
      <c r="E35" t="s">
        <v>168</v>
      </c>
      <c r="F35" s="15"/>
      <c r="G35" s="16"/>
      <c r="H35" s="40">
        <v>46171</v>
      </c>
      <c r="I35" s="17">
        <v>46183</v>
      </c>
      <c r="J35" s="17"/>
      <c r="K35" s="19"/>
      <c r="L35" s="17" t="s">
        <v>150</v>
      </c>
      <c r="N35" s="15"/>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31.5" customHeight="1" outlineLevel="1" x14ac:dyDescent="0.3">
      <c r="A36" s="13" t="s">
        <v>178</v>
      </c>
      <c r="B36" s="14"/>
      <c r="C36" s="21"/>
      <c r="D36" s="21"/>
      <c r="E36" t="s">
        <v>169</v>
      </c>
      <c r="F36" s="15"/>
      <c r="G36" s="16"/>
      <c r="H36" s="40">
        <v>46171</v>
      </c>
      <c r="I36" s="17">
        <v>46183</v>
      </c>
      <c r="J36" s="17"/>
      <c r="K36" s="19"/>
      <c r="L36" s="17" t="s">
        <v>150</v>
      </c>
      <c r="N36" s="15"/>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27.75" customHeight="1" outlineLevel="1" x14ac:dyDescent="0.3">
      <c r="A37" s="13" t="s">
        <v>179</v>
      </c>
      <c r="B37" s="14"/>
      <c r="C37" s="21"/>
      <c r="D37" s="21"/>
      <c r="E37" t="s">
        <v>170</v>
      </c>
      <c r="F37" s="15"/>
      <c r="G37" s="16"/>
      <c r="H37" s="40">
        <v>46171</v>
      </c>
      <c r="I37" s="17">
        <v>46183</v>
      </c>
      <c r="J37" s="17"/>
      <c r="K37" s="19"/>
      <c r="L37" s="17" t="s">
        <v>150</v>
      </c>
      <c r="N37" s="15"/>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15.75" customHeight="1" outlineLevel="1" x14ac:dyDescent="0.3">
      <c r="A38" s="13" t="s">
        <v>180</v>
      </c>
      <c r="B38" s="14"/>
      <c r="C38" s="21"/>
      <c r="D38" s="21"/>
      <c r="E38" t="s">
        <v>171</v>
      </c>
      <c r="F38" s="15"/>
      <c r="G38" s="16"/>
      <c r="H38" s="40">
        <v>46171</v>
      </c>
      <c r="I38" s="17">
        <v>46183</v>
      </c>
      <c r="J38" s="17"/>
      <c r="K38" s="19"/>
      <c r="L38" s="17" t="s">
        <v>150</v>
      </c>
      <c r="N38" s="15"/>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27" customHeight="1" outlineLevel="1" x14ac:dyDescent="0.3">
      <c r="A39" s="13" t="s">
        <v>181</v>
      </c>
      <c r="B39" s="14"/>
      <c r="C39" s="21"/>
      <c r="D39" s="21"/>
      <c r="E39" t="s">
        <v>172</v>
      </c>
      <c r="F39" s="15"/>
      <c r="G39" s="16"/>
      <c r="H39" s="40">
        <v>46171</v>
      </c>
      <c r="I39" s="17">
        <v>46183</v>
      </c>
      <c r="J39" s="17"/>
      <c r="K39" s="19"/>
      <c r="L39" s="17" t="s">
        <v>150</v>
      </c>
      <c r="N39" s="15"/>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14.4" outlineLevel="1" x14ac:dyDescent="0.3">
      <c r="A40" s="13"/>
      <c r="B40" s="14"/>
      <c r="C40" s="21"/>
      <c r="D40" s="21"/>
      <c r="E40" t="s">
        <v>173</v>
      </c>
      <c r="F40" s="15"/>
      <c r="G40" s="16"/>
      <c r="H40" s="40">
        <v>46171</v>
      </c>
      <c r="I40" s="17">
        <v>46183</v>
      </c>
      <c r="J40" s="17"/>
      <c r="K40" s="19"/>
      <c r="L40" s="17" t="s">
        <v>150</v>
      </c>
      <c r="N40" s="15"/>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14.4" outlineLevel="1" x14ac:dyDescent="0.3">
      <c r="A41" s="13"/>
      <c r="B41" s="14"/>
      <c r="C41" s="15"/>
      <c r="D41" s="15"/>
      <c r="E41" s="15"/>
      <c r="F41" s="15"/>
      <c r="G41" s="15"/>
      <c r="H41" s="17"/>
      <c r="I41" s="17"/>
      <c r="J41" s="18"/>
      <c r="K41" s="19">
        <v>15</v>
      </c>
      <c r="L41" s="17" t="s">
        <v>150</v>
      </c>
      <c r="M41" s="20"/>
      <c r="N41" s="15"/>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14.4" outlineLevel="1" x14ac:dyDescent="0.3">
      <c r="A42" s="13" t="s">
        <v>199</v>
      </c>
      <c r="B42" s="14"/>
      <c r="C42" s="21"/>
      <c r="D42" s="15" t="s">
        <v>182</v>
      </c>
      <c r="E42" s="15"/>
      <c r="F42" s="15"/>
      <c r="G42" s="16"/>
      <c r="H42" s="17">
        <v>46184</v>
      </c>
      <c r="I42" s="17">
        <v>46186</v>
      </c>
      <c r="J42" s="17"/>
      <c r="K42" s="19"/>
      <c r="L42" s="17" t="s">
        <v>150</v>
      </c>
      <c r="M42" s="20"/>
      <c r="N42" s="15"/>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14.4" outlineLevel="1" x14ac:dyDescent="0.3">
      <c r="A43" s="13"/>
      <c r="B43" s="14"/>
      <c r="C43" s="21"/>
      <c r="D43" s="21"/>
      <c r="E43" t="s">
        <v>184</v>
      </c>
      <c r="F43" s="15"/>
      <c r="G43" s="16"/>
      <c r="H43" s="17">
        <v>46184</v>
      </c>
      <c r="I43" s="17">
        <v>46186</v>
      </c>
      <c r="J43" s="17"/>
      <c r="K43" s="19"/>
      <c r="L43" s="17" t="s">
        <v>150</v>
      </c>
      <c r="M43" s="20"/>
      <c r="N43" s="15"/>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14.4" outlineLevel="1" x14ac:dyDescent="0.3">
      <c r="A44" s="13"/>
      <c r="B44" s="14"/>
      <c r="C44" s="21"/>
      <c r="D44" s="21"/>
      <c r="E44" s="15" t="s">
        <v>183</v>
      </c>
      <c r="F44" s="15"/>
      <c r="G44" s="16"/>
      <c r="H44" s="17">
        <v>46184</v>
      </c>
      <c r="I44" s="17">
        <v>46186</v>
      </c>
      <c r="J44" s="17"/>
      <c r="K44" s="19"/>
      <c r="L44" s="17" t="s">
        <v>150</v>
      </c>
      <c r="N44" s="15"/>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ht="33.75" customHeight="1" outlineLevel="1" x14ac:dyDescent="0.3">
      <c r="A45" s="13"/>
      <c r="B45" s="14"/>
      <c r="C45" s="21"/>
      <c r="D45" s="21"/>
      <c r="E45" s="15" t="s">
        <v>185</v>
      </c>
      <c r="F45" s="15"/>
      <c r="G45" s="16"/>
      <c r="H45" s="17">
        <v>46184</v>
      </c>
      <c r="I45" s="17">
        <v>46186</v>
      </c>
      <c r="J45" s="17"/>
      <c r="K45" s="19"/>
      <c r="L45" s="17" t="s">
        <v>150</v>
      </c>
      <c r="M45" s="20"/>
      <c r="N45" s="15"/>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14.4" outlineLevel="1" x14ac:dyDescent="0.3">
      <c r="A46" s="13"/>
      <c r="B46" s="14"/>
      <c r="C46" s="15"/>
      <c r="D46" s="15"/>
      <c r="E46" s="15"/>
      <c r="F46" s="15"/>
      <c r="G46" s="15"/>
      <c r="H46" s="17"/>
      <c r="I46" s="17"/>
      <c r="J46" s="18"/>
      <c r="K46" s="19"/>
      <c r="L46" s="17" t="s">
        <v>150</v>
      </c>
      <c r="M46" s="20"/>
      <c r="N46" s="15"/>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9.25" customHeight="1" outlineLevel="1" x14ac:dyDescent="0.3">
      <c r="A47" s="13" t="s">
        <v>200</v>
      </c>
      <c r="B47" s="14"/>
      <c r="C47" s="21"/>
      <c r="D47" s="15" t="s">
        <v>186</v>
      </c>
      <c r="E47" s="15" t="s">
        <v>187</v>
      </c>
      <c r="F47" s="15"/>
      <c r="G47" s="16"/>
      <c r="H47" s="17">
        <v>46187</v>
      </c>
      <c r="I47" s="17">
        <v>46188</v>
      </c>
      <c r="J47" s="17"/>
      <c r="K47" s="19">
        <v>9</v>
      </c>
      <c r="L47" s="17" t="s">
        <v>150</v>
      </c>
      <c r="M47" s="20"/>
      <c r="N47" s="24"/>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28.8" outlineLevel="1" x14ac:dyDescent="0.3">
      <c r="A48" s="13"/>
      <c r="B48" s="14"/>
      <c r="C48" s="15"/>
      <c r="D48" s="15"/>
      <c r="E48" s="15" t="s">
        <v>188</v>
      </c>
      <c r="F48" s="15"/>
      <c r="G48" s="15"/>
      <c r="H48" s="17">
        <v>46187</v>
      </c>
      <c r="I48" s="17">
        <v>46188</v>
      </c>
      <c r="J48" s="18"/>
      <c r="K48" s="19"/>
      <c r="L48" s="17" t="s">
        <v>150</v>
      </c>
      <c r="M48" s="20"/>
      <c r="N48" s="15"/>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14.4" outlineLevel="1" x14ac:dyDescent="0.3">
      <c r="A49" s="13"/>
      <c r="B49" s="14"/>
      <c r="C49" s="21"/>
      <c r="D49" s="15"/>
      <c r="E49" s="15" t="s">
        <v>189</v>
      </c>
      <c r="F49" s="15"/>
      <c r="G49" s="16"/>
      <c r="H49" s="17">
        <v>46187</v>
      </c>
      <c r="I49" s="17">
        <v>46188</v>
      </c>
      <c r="J49" s="17"/>
      <c r="K49" s="19"/>
      <c r="L49" s="17" t="s">
        <v>150</v>
      </c>
      <c r="N49" s="15"/>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36.75" customHeight="1" outlineLevel="1" x14ac:dyDescent="0.3">
      <c r="A50" s="13"/>
      <c r="B50" s="14"/>
      <c r="C50" s="21"/>
      <c r="D50" s="15"/>
      <c r="E50" s="15"/>
      <c r="F50" s="127"/>
      <c r="G50" s="15"/>
      <c r="H50" s="17"/>
      <c r="I50" s="17"/>
      <c r="J50" s="18"/>
      <c r="K50" s="19"/>
      <c r="L50" s="17" t="s">
        <v>150</v>
      </c>
      <c r="M50" s="128"/>
      <c r="N50" s="15"/>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s="60" customFormat="1" ht="14.4" x14ac:dyDescent="0.3">
      <c r="A51" s="13" t="s">
        <v>201</v>
      </c>
      <c r="B51" s="14"/>
      <c r="C51" s="21"/>
      <c r="D51" t="s">
        <v>190</v>
      </c>
      <c r="E51" s="15"/>
      <c r="F51" s="15"/>
      <c r="G51" s="16"/>
      <c r="H51" s="17">
        <v>46187</v>
      </c>
      <c r="I51" s="17">
        <v>46188</v>
      </c>
      <c r="J51" s="17"/>
      <c r="K51" s="19">
        <v>6</v>
      </c>
      <c r="L51" s="17" t="s">
        <v>150</v>
      </c>
      <c r="M51" s="20"/>
      <c r="N51" s="24"/>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row>
    <row r="52" spans="1:78" ht="14.4" outlineLevel="1" x14ac:dyDescent="0.3">
      <c r="A52" s="25"/>
      <c r="B52" s="14"/>
      <c r="C52" s="15"/>
      <c r="D52" s="15"/>
      <c r="E52" t="s">
        <v>191</v>
      </c>
      <c r="F52" s="15"/>
      <c r="G52" s="15"/>
      <c r="H52" s="17">
        <v>46187</v>
      </c>
      <c r="I52" s="17">
        <v>46188</v>
      </c>
      <c r="J52" s="18"/>
      <c r="K52" s="19"/>
      <c r="L52" s="17" t="s">
        <v>150</v>
      </c>
      <c r="M52" s="20"/>
      <c r="N52" s="15"/>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31.5" customHeight="1" outlineLevel="1" x14ac:dyDescent="0.3">
      <c r="A53" s="25"/>
      <c r="B53" s="14"/>
      <c r="C53" s="21"/>
      <c r="D53" s="15"/>
      <c r="E53" t="s">
        <v>192</v>
      </c>
      <c r="F53" s="15"/>
      <c r="G53" s="16"/>
      <c r="H53" s="17">
        <v>46187</v>
      </c>
      <c r="I53" s="17">
        <v>46188</v>
      </c>
      <c r="J53" s="17"/>
      <c r="K53" s="19"/>
      <c r="L53" s="17" t="s">
        <v>150</v>
      </c>
      <c r="N53" s="24"/>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14.4" outlineLevel="1" x14ac:dyDescent="0.3">
      <c r="A54" s="25"/>
      <c r="B54" s="14"/>
      <c r="C54" s="21"/>
      <c r="D54" s="21"/>
      <c r="E54" t="s">
        <v>193</v>
      </c>
      <c r="F54" s="15"/>
      <c r="G54" s="16"/>
      <c r="H54" s="17">
        <v>46187</v>
      </c>
      <c r="I54" s="17">
        <v>46188</v>
      </c>
      <c r="J54" s="17"/>
      <c r="K54" s="19"/>
      <c r="L54" s="17" t="s">
        <v>150</v>
      </c>
      <c r="N54" s="15"/>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14.4" outlineLevel="1" x14ac:dyDescent="0.3">
      <c r="A55" s="25"/>
      <c r="B55" s="14"/>
      <c r="C55" s="21"/>
      <c r="D55" s="21"/>
      <c r="E55" s="15"/>
      <c r="F55" s="15"/>
      <c r="G55" s="16"/>
      <c r="H55" s="17"/>
      <c r="I55" s="17"/>
      <c r="J55" s="17"/>
      <c r="K55" s="19"/>
      <c r="L55" s="17" t="s">
        <v>150</v>
      </c>
      <c r="N55" s="15"/>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14.4" outlineLevel="1" x14ac:dyDescent="0.3">
      <c r="A56" s="25" t="s">
        <v>202</v>
      </c>
      <c r="B56" s="14"/>
      <c r="C56" s="21"/>
      <c r="D56" t="s">
        <v>194</v>
      </c>
      <c r="E56" s="15"/>
      <c r="F56" s="15"/>
      <c r="G56" s="16"/>
      <c r="H56" s="17">
        <v>46189</v>
      </c>
      <c r="I56" s="17">
        <v>46191</v>
      </c>
      <c r="J56" s="17"/>
      <c r="K56" s="19">
        <v>12</v>
      </c>
      <c r="L56" s="17" t="s">
        <v>150</v>
      </c>
      <c r="N56" s="15"/>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14.4" outlineLevel="1" x14ac:dyDescent="0.3">
      <c r="A57" s="25"/>
      <c r="B57" s="14"/>
      <c r="C57" s="15"/>
      <c r="D57" s="15"/>
      <c r="E57" t="s">
        <v>195</v>
      </c>
      <c r="F57" s="15"/>
      <c r="G57" s="15"/>
      <c r="H57" s="17">
        <v>46189</v>
      </c>
      <c r="I57" s="17">
        <v>46191</v>
      </c>
      <c r="J57" s="18"/>
      <c r="K57" s="19"/>
      <c r="L57" s="17" t="s">
        <v>150</v>
      </c>
      <c r="M57" s="20"/>
      <c r="N57" s="15"/>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7.75" customHeight="1" outlineLevel="1" x14ac:dyDescent="0.3">
      <c r="A58" s="25"/>
      <c r="B58" s="14"/>
      <c r="C58" s="21"/>
      <c r="D58" s="15"/>
      <c r="E58" s="15" t="s">
        <v>196</v>
      </c>
      <c r="F58" s="15"/>
      <c r="G58" s="16"/>
      <c r="H58" s="17">
        <v>46189</v>
      </c>
      <c r="I58" s="17">
        <v>46191</v>
      </c>
      <c r="J58" s="17"/>
      <c r="K58" s="19"/>
      <c r="L58" s="17" t="s">
        <v>150</v>
      </c>
      <c r="M58" s="20"/>
      <c r="N58" s="24"/>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5" customHeight="1" outlineLevel="1" x14ac:dyDescent="0.3">
      <c r="A59" s="25"/>
      <c r="B59" s="14"/>
      <c r="C59" s="21"/>
      <c r="D59" s="21"/>
      <c r="E59" s="15" t="s">
        <v>197</v>
      </c>
      <c r="F59" s="15"/>
      <c r="G59" s="16"/>
      <c r="H59" s="17">
        <v>46189</v>
      </c>
      <c r="I59" s="17">
        <v>46191</v>
      </c>
      <c r="J59" s="17"/>
      <c r="K59" s="19"/>
      <c r="L59" s="17" t="s">
        <v>150</v>
      </c>
      <c r="M59" s="20"/>
      <c r="N59" s="15"/>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7" customHeight="1" outlineLevel="1" x14ac:dyDescent="0.3">
      <c r="A60" s="25"/>
      <c r="B60" s="14"/>
      <c r="C60" s="21"/>
      <c r="D60" s="21"/>
      <c r="E60" s="15" t="s">
        <v>198</v>
      </c>
      <c r="F60" s="15"/>
      <c r="G60" s="16"/>
      <c r="H60" s="17">
        <v>46189</v>
      </c>
      <c r="I60" s="17">
        <v>46191</v>
      </c>
      <c r="J60" s="17"/>
      <c r="K60" s="19"/>
      <c r="L60" s="17" t="s">
        <v>150</v>
      </c>
      <c r="M60" s="20"/>
      <c r="N60" s="15"/>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14.4" outlineLevel="1" x14ac:dyDescent="0.3">
      <c r="A61" s="25"/>
      <c r="B61" s="14"/>
      <c r="C61" s="21"/>
      <c r="D61" s="15"/>
      <c r="E61" s="15"/>
      <c r="F61" s="15"/>
      <c r="G61" s="16"/>
      <c r="H61" s="17"/>
      <c r="I61" s="17"/>
      <c r="J61" s="18"/>
      <c r="K61" s="19"/>
      <c r="L61" s="17"/>
      <c r="M61" s="20"/>
      <c r="N61" s="15"/>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4.4" outlineLevel="1" x14ac:dyDescent="0.3">
      <c r="A62" s="129">
        <v>4</v>
      </c>
      <c r="B62" s="130" t="s">
        <v>203</v>
      </c>
      <c r="C62" s="131"/>
      <c r="D62" s="131"/>
      <c r="E62" s="132"/>
      <c r="F62" s="132"/>
      <c r="G62" s="133"/>
      <c r="H62" s="134"/>
      <c r="I62" s="134"/>
      <c r="J62" s="134"/>
      <c r="K62" s="135"/>
      <c r="L62" s="134"/>
      <c r="M62" s="136"/>
      <c r="N62" s="132"/>
      <c r="O62" s="60"/>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12"/>
      <c r="BI62" s="12"/>
      <c r="BJ62" s="12"/>
      <c r="BK62" s="12"/>
      <c r="BL62" s="12"/>
      <c r="BM62" s="12"/>
      <c r="BN62" s="12"/>
      <c r="BO62" s="12"/>
      <c r="BP62" s="12"/>
      <c r="BQ62" s="12"/>
      <c r="BR62" s="12"/>
      <c r="BS62" s="12"/>
      <c r="BT62" s="12"/>
      <c r="BU62" s="12"/>
      <c r="BV62" s="12"/>
      <c r="BW62" s="12"/>
      <c r="BX62" s="12"/>
      <c r="BY62" s="12"/>
      <c r="BZ62" s="12"/>
    </row>
    <row r="63" spans="1:78" ht="14.4" outlineLevel="1" x14ac:dyDescent="0.3">
      <c r="A63" s="25"/>
      <c r="B63" s="14"/>
      <c r="C63" s="21"/>
      <c r="D63" s="21"/>
      <c r="E63" s="15"/>
      <c r="F63" s="15"/>
      <c r="G63" s="16"/>
      <c r="H63" s="17"/>
      <c r="I63" s="17"/>
      <c r="J63" s="18"/>
      <c r="K63" s="19"/>
      <c r="L63" s="17"/>
      <c r="M63" s="20"/>
      <c r="N63" s="15"/>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4.4" outlineLevel="1" x14ac:dyDescent="0.3">
      <c r="A64" s="25">
        <v>4.0999999999999996</v>
      </c>
      <c r="B64" s="14"/>
      <c r="C64" s="21"/>
      <c r="D64" s="15" t="s">
        <v>204</v>
      </c>
      <c r="E64" s="15"/>
      <c r="F64" s="15"/>
      <c r="G64" s="16"/>
      <c r="H64" s="17">
        <v>46192</v>
      </c>
      <c r="I64" s="17">
        <v>46194</v>
      </c>
      <c r="J64" s="18"/>
      <c r="K64" s="19">
        <v>8</v>
      </c>
      <c r="L64" s="17" t="s">
        <v>150</v>
      </c>
      <c r="M64" s="20"/>
      <c r="N64" s="15"/>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33.75" customHeight="1" outlineLevel="1" x14ac:dyDescent="0.3">
      <c r="A65" s="25"/>
      <c r="B65" s="14"/>
      <c r="C65" s="21"/>
      <c r="D65" s="21"/>
      <c r="E65" s="15"/>
      <c r="F65" s="15"/>
      <c r="G65" s="16"/>
      <c r="H65" s="17"/>
      <c r="I65" s="17"/>
      <c r="J65" s="17"/>
      <c r="K65" s="19"/>
      <c r="L65" s="17"/>
      <c r="M65" s="20"/>
      <c r="N65" s="15"/>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36" customHeight="1" outlineLevel="1" x14ac:dyDescent="0.3">
      <c r="A66" s="25">
        <v>4.2</v>
      </c>
      <c r="B66" s="14"/>
      <c r="C66" s="21"/>
      <c r="D66" s="126" t="s">
        <v>205</v>
      </c>
      <c r="E66" s="24"/>
      <c r="F66" s="24"/>
      <c r="G66" s="16"/>
      <c r="H66" s="17">
        <v>46195</v>
      </c>
      <c r="I66" s="17">
        <v>46195</v>
      </c>
      <c r="J66" s="17"/>
      <c r="K66" s="19">
        <v>2</v>
      </c>
      <c r="L66" s="17" t="s">
        <v>150</v>
      </c>
      <c r="M66" s="20"/>
      <c r="N66" s="15"/>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31.5" customHeight="1" outlineLevel="1" x14ac:dyDescent="0.3">
      <c r="A67" s="25"/>
      <c r="B67" s="14"/>
      <c r="C67" s="21"/>
      <c r="D67" s="21"/>
      <c r="E67" s="15"/>
      <c r="F67" s="15"/>
      <c r="G67" s="16"/>
      <c r="H67" s="17"/>
      <c r="I67" s="17"/>
      <c r="J67" s="18"/>
      <c r="K67" s="19"/>
      <c r="L67" s="17"/>
      <c r="M67" s="20"/>
      <c r="N67" s="15"/>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4.4" outlineLevel="1" x14ac:dyDescent="0.3">
      <c r="A68" s="129">
        <v>5</v>
      </c>
      <c r="B68" s="130" t="s">
        <v>206</v>
      </c>
      <c r="C68" s="131"/>
      <c r="D68" s="131"/>
      <c r="E68" s="132"/>
      <c r="F68" s="132"/>
      <c r="G68" s="133"/>
      <c r="H68" s="134"/>
      <c r="I68" s="134"/>
      <c r="J68" s="134"/>
      <c r="K68" s="135"/>
      <c r="L68" s="134"/>
      <c r="M68" s="136"/>
      <c r="N68" s="132"/>
      <c r="O68" s="60"/>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12"/>
      <c r="BJ68" s="12"/>
      <c r="BK68" s="12"/>
      <c r="BL68" s="12"/>
      <c r="BM68" s="12"/>
      <c r="BN68" s="12"/>
      <c r="BO68" s="12"/>
      <c r="BP68" s="12"/>
      <c r="BQ68" s="12"/>
      <c r="BR68" s="12"/>
      <c r="BS68" s="12"/>
      <c r="BT68" s="12"/>
      <c r="BU68" s="12"/>
      <c r="BV68" s="12"/>
      <c r="BW68" s="12"/>
      <c r="BX68" s="12"/>
      <c r="BY68" s="12"/>
      <c r="BZ68" s="12"/>
    </row>
    <row r="69" spans="1:78" ht="32.25" customHeight="1" outlineLevel="1" x14ac:dyDescent="0.3">
      <c r="A69" s="25">
        <v>5.0999999999999996</v>
      </c>
      <c r="B69" s="14"/>
      <c r="C69" s="21"/>
      <c r="D69" s="137" t="s">
        <v>207</v>
      </c>
      <c r="E69" s="15"/>
      <c r="F69" s="15"/>
      <c r="G69" s="16"/>
      <c r="H69" s="17">
        <v>46196</v>
      </c>
      <c r="I69" s="17">
        <v>45100</v>
      </c>
      <c r="J69" s="17"/>
      <c r="K69" s="19">
        <v>2</v>
      </c>
      <c r="L69" s="17" t="s">
        <v>46</v>
      </c>
      <c r="M69" s="20"/>
      <c r="N69" s="15"/>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4.4" outlineLevel="1" x14ac:dyDescent="0.3">
      <c r="A70" s="25"/>
      <c r="B70" s="14"/>
      <c r="C70" s="21"/>
      <c r="D70" s="21"/>
      <c r="E70" s="15"/>
      <c r="F70" s="15"/>
      <c r="G70" s="16"/>
      <c r="H70" s="17"/>
      <c r="I70" s="17"/>
      <c r="J70" s="17"/>
      <c r="K70" s="19"/>
      <c r="L70" s="17"/>
      <c r="M70" s="20"/>
      <c r="N70" s="15"/>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22.5" customHeight="1" outlineLevel="1" x14ac:dyDescent="0.3">
      <c r="A71" s="25"/>
      <c r="B71" s="14"/>
      <c r="C71" s="21"/>
      <c r="D71" s="21"/>
      <c r="E71" s="15"/>
      <c r="F71" s="15"/>
      <c r="G71" s="16"/>
      <c r="H71" s="17"/>
      <c r="I71" s="17"/>
      <c r="J71" s="18"/>
      <c r="K71" s="19"/>
      <c r="L71" s="17"/>
      <c r="M71" s="20"/>
      <c r="N71" s="15"/>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4.4" outlineLevel="1" x14ac:dyDescent="0.3">
      <c r="A72" s="25"/>
      <c r="B72" s="14"/>
      <c r="C72" s="15"/>
      <c r="D72" s="15"/>
      <c r="E72" s="15"/>
      <c r="F72" s="15"/>
      <c r="G72" s="15"/>
      <c r="H72" s="17"/>
      <c r="I72" s="17"/>
      <c r="J72" s="18"/>
      <c r="K72" s="19"/>
      <c r="L72" s="17"/>
      <c r="N72" s="15"/>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45.75" customHeight="1" outlineLevel="1" x14ac:dyDescent="0.3">
      <c r="A73" s="25"/>
      <c r="B73" s="14"/>
      <c r="C73" s="21"/>
      <c r="D73" s="15"/>
      <c r="E73" s="15"/>
      <c r="F73" s="15"/>
      <c r="G73" s="16"/>
      <c r="H73" s="17"/>
      <c r="I73" s="17"/>
      <c r="J73" s="17"/>
      <c r="K73" s="19"/>
      <c r="L73" s="17"/>
      <c r="M73" s="20"/>
      <c r="N73" s="15"/>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4.4" outlineLevel="1" x14ac:dyDescent="0.3">
      <c r="A74" s="25"/>
      <c r="B74" s="14"/>
      <c r="C74" s="21"/>
      <c r="D74" s="15"/>
      <c r="E74" s="15"/>
      <c r="F74" s="15"/>
      <c r="G74" s="16"/>
      <c r="H74" s="17"/>
      <c r="I74" s="17"/>
      <c r="J74" s="17"/>
      <c r="K74" s="19"/>
      <c r="L74" s="17"/>
      <c r="M74" s="20"/>
      <c r="N74" s="15"/>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4.4" outlineLevel="1" x14ac:dyDescent="0.3">
      <c r="A75" s="25"/>
      <c r="B75" s="14"/>
      <c r="C75" s="21"/>
      <c r="D75" s="15"/>
      <c r="E75" s="15"/>
      <c r="F75" s="15"/>
      <c r="G75" s="16"/>
      <c r="H75" s="17"/>
      <c r="I75" s="17"/>
      <c r="J75" s="17"/>
      <c r="K75" s="19"/>
      <c r="L75" s="17"/>
      <c r="M75" s="20"/>
      <c r="N75" s="15"/>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4.4" outlineLevel="1" x14ac:dyDescent="0.3">
      <c r="A76" s="25"/>
      <c r="B76" s="14"/>
      <c r="C76" s="21"/>
      <c r="D76" s="15"/>
      <c r="E76" s="15"/>
      <c r="F76" s="15"/>
      <c r="G76" s="16"/>
      <c r="H76" s="17"/>
      <c r="I76" s="17"/>
      <c r="J76" s="17"/>
      <c r="K76" s="19"/>
      <c r="L76" s="17"/>
      <c r="M76" s="20"/>
      <c r="N76" s="15"/>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4.4" outlineLevel="1" x14ac:dyDescent="0.3">
      <c r="A77" s="25"/>
      <c r="B77" s="14"/>
      <c r="C77" s="21"/>
      <c r="D77" s="21"/>
      <c r="E77" s="15"/>
      <c r="F77" s="15"/>
      <c r="G77" s="16"/>
      <c r="H77" s="17"/>
      <c r="I77" s="17"/>
      <c r="J77" s="17"/>
      <c r="K77" s="19"/>
      <c r="L77" s="17"/>
      <c r="M77" s="20"/>
      <c r="N77" s="15"/>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4.4" outlineLevel="1" x14ac:dyDescent="0.3">
      <c r="A78" s="25"/>
      <c r="B78" s="14"/>
      <c r="C78" s="21"/>
      <c r="D78" s="21"/>
      <c r="E78" s="15"/>
      <c r="F78" s="15"/>
      <c r="G78" s="16"/>
      <c r="H78" s="17"/>
      <c r="I78" s="17"/>
      <c r="J78" s="17"/>
      <c r="K78" s="19"/>
      <c r="L78" s="17"/>
      <c r="M78" s="20"/>
      <c r="N78" s="15"/>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4.4" outlineLevel="1" x14ac:dyDescent="0.3">
      <c r="A79" s="25"/>
      <c r="B79" s="14"/>
      <c r="C79" s="21"/>
      <c r="D79" s="15"/>
      <c r="E79" s="15"/>
      <c r="F79" s="15"/>
      <c r="G79" s="16"/>
      <c r="H79" s="17"/>
      <c r="I79" s="17"/>
      <c r="J79" s="17"/>
      <c r="K79" s="19"/>
      <c r="L79" s="17"/>
      <c r="N79" s="15"/>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s="60" customFormat="1" ht="14.4" x14ac:dyDescent="0.3">
      <c r="A80" s="61"/>
      <c r="B80" s="62"/>
      <c r="C80" s="59"/>
      <c r="D80" s="59"/>
      <c r="E80" s="59"/>
      <c r="F80" s="59"/>
      <c r="G80" s="59"/>
      <c r="H80" s="55"/>
      <c r="I80" s="55"/>
      <c r="J80" s="63"/>
      <c r="K80" s="64"/>
      <c r="L80" s="55"/>
      <c r="M80" s="56"/>
      <c r="N80" s="59"/>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row>
    <row r="81" spans="1:78" ht="14.4" outlineLevel="1" x14ac:dyDescent="0.3">
      <c r="A81" s="25"/>
      <c r="B81" s="14"/>
      <c r="C81" s="15"/>
      <c r="D81" s="15"/>
      <c r="E81" s="15"/>
      <c r="F81" s="15"/>
      <c r="G81" s="15"/>
      <c r="H81" s="17"/>
      <c r="I81" s="17"/>
      <c r="J81" s="18"/>
      <c r="K81" s="19"/>
      <c r="L81" s="17"/>
      <c r="M81" s="20"/>
      <c r="N81" s="15"/>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4.4" outlineLevel="1" x14ac:dyDescent="0.3">
      <c r="A82" s="25"/>
      <c r="B82" s="14"/>
      <c r="C82" s="21"/>
      <c r="D82" s="15"/>
      <c r="E82" s="15"/>
      <c r="F82" s="15"/>
      <c r="G82" s="16"/>
      <c r="H82" s="17"/>
      <c r="I82" s="17"/>
      <c r="J82" s="17"/>
      <c r="K82" s="19"/>
      <c r="L82" s="17"/>
      <c r="M82" s="20"/>
      <c r="N82" s="15"/>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4.4" outlineLevel="1" x14ac:dyDescent="0.3">
      <c r="A83" s="13"/>
      <c r="B83" s="14"/>
      <c r="C83" s="21"/>
      <c r="D83" s="15"/>
      <c r="E83" s="15"/>
      <c r="F83" s="15"/>
      <c r="G83" s="16"/>
      <c r="H83" s="17"/>
      <c r="I83" s="17"/>
      <c r="J83" s="17"/>
      <c r="K83" s="19"/>
      <c r="L83" s="17"/>
      <c r="N83" s="15"/>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4.4" outlineLevel="1" x14ac:dyDescent="0.3">
      <c r="A84" s="25"/>
      <c r="B84" s="14"/>
      <c r="C84" s="15"/>
      <c r="D84" s="15"/>
      <c r="E84" s="15"/>
      <c r="F84" s="15"/>
      <c r="G84" s="15"/>
      <c r="H84" s="17"/>
      <c r="I84" s="17"/>
      <c r="J84" s="18"/>
      <c r="K84" s="19"/>
      <c r="L84" s="17"/>
      <c r="M84" s="20"/>
      <c r="N84" s="15"/>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4.4" outlineLevel="1" x14ac:dyDescent="0.3">
      <c r="A85" s="25"/>
      <c r="B85" s="14"/>
      <c r="C85" s="21"/>
      <c r="D85" s="15"/>
      <c r="E85" s="15"/>
      <c r="F85" s="15"/>
      <c r="G85" s="16"/>
      <c r="H85" s="17"/>
      <c r="I85" s="17"/>
      <c r="J85" s="18"/>
      <c r="K85" s="19"/>
      <c r="L85" s="17"/>
      <c r="M85" s="20"/>
      <c r="N85" s="15"/>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4.4" outlineLevel="1" x14ac:dyDescent="0.3">
      <c r="A86" s="25"/>
      <c r="B86" s="14"/>
      <c r="C86" s="21"/>
      <c r="D86" s="21"/>
      <c r="E86" s="15"/>
      <c r="F86" s="15"/>
      <c r="G86" s="16"/>
      <c r="H86" s="17"/>
      <c r="I86" s="17"/>
      <c r="J86" s="18"/>
      <c r="K86" s="19"/>
      <c r="L86" s="17"/>
      <c r="M86" s="20"/>
      <c r="N86" s="15"/>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ht="14.4" outlineLevel="1" x14ac:dyDescent="0.3">
      <c r="A87" s="25"/>
      <c r="B87" s="14"/>
      <c r="C87" s="21"/>
      <c r="D87" s="21"/>
      <c r="E87" s="15"/>
      <c r="F87" s="15"/>
      <c r="G87" s="16"/>
      <c r="H87" s="17"/>
      <c r="I87" s="17"/>
      <c r="J87" s="18"/>
      <c r="K87" s="19"/>
      <c r="L87" s="17"/>
      <c r="M87" s="20"/>
      <c r="N87" s="15"/>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ht="14.4" outlineLevel="1" x14ac:dyDescent="0.3">
      <c r="A88" s="25"/>
      <c r="B88" s="14"/>
      <c r="C88" s="15"/>
      <c r="D88" s="15"/>
      <c r="E88" s="15"/>
      <c r="F88" s="15"/>
      <c r="G88" s="16"/>
      <c r="H88" s="17"/>
      <c r="I88" s="17"/>
      <c r="J88" s="18"/>
      <c r="K88" s="19"/>
      <c r="L88" s="17"/>
      <c r="M88" s="20"/>
      <c r="N88" s="15"/>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4.4" outlineLevel="1" x14ac:dyDescent="0.3">
      <c r="A89" s="25"/>
      <c r="B89" s="14"/>
      <c r="C89" s="21"/>
      <c r="D89" s="15"/>
      <c r="E89" s="15"/>
      <c r="F89" s="15"/>
      <c r="G89" s="16"/>
      <c r="H89" s="17"/>
      <c r="I89" s="17"/>
      <c r="J89" s="18"/>
      <c r="K89" s="19"/>
      <c r="L89" s="17"/>
      <c r="M89" s="20"/>
      <c r="N89" s="15"/>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4.4" outlineLevel="1" x14ac:dyDescent="0.3">
      <c r="A90" s="25"/>
      <c r="B90" s="14"/>
      <c r="C90" s="15"/>
      <c r="D90" s="15"/>
      <c r="E90" s="15"/>
      <c r="F90" s="15"/>
      <c r="G90" s="15"/>
      <c r="H90" s="17"/>
      <c r="I90" s="17"/>
      <c r="J90" s="18"/>
      <c r="K90" s="19"/>
      <c r="L90" s="17"/>
      <c r="M90" s="20"/>
      <c r="N90" s="15"/>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14.4" outlineLevel="1" x14ac:dyDescent="0.3">
      <c r="A91" s="25"/>
      <c r="B91" s="14"/>
      <c r="C91" s="21"/>
      <c r="D91" s="15"/>
      <c r="E91" s="15"/>
      <c r="F91" s="15"/>
      <c r="G91" s="16"/>
      <c r="H91" s="17"/>
      <c r="I91" s="17"/>
      <c r="J91" s="18"/>
      <c r="K91" s="19"/>
      <c r="L91" s="17"/>
      <c r="M91" s="20"/>
      <c r="N91" s="15"/>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4.4" outlineLevel="1" x14ac:dyDescent="0.3">
      <c r="A92" s="25"/>
      <c r="B92" s="14"/>
      <c r="C92" s="21"/>
      <c r="D92" s="15"/>
      <c r="E92" s="15"/>
      <c r="F92" s="15"/>
      <c r="G92" s="16"/>
      <c r="H92" s="17"/>
      <c r="I92" s="17"/>
      <c r="J92" s="18"/>
      <c r="K92" s="19"/>
      <c r="L92" s="17"/>
      <c r="M92" s="20"/>
      <c r="N92" s="15"/>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s="60" customFormat="1" ht="14.4" x14ac:dyDescent="0.3">
      <c r="A93" s="61"/>
      <c r="B93" s="62"/>
      <c r="C93" s="59"/>
      <c r="D93" s="59"/>
      <c r="E93" s="59"/>
      <c r="F93" s="59"/>
      <c r="G93" s="59"/>
      <c r="H93" s="55"/>
      <c r="I93" s="55"/>
      <c r="J93" s="63"/>
      <c r="K93" s="64"/>
      <c r="L93" s="55"/>
      <c r="M93" s="56"/>
      <c r="N93" s="59"/>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row>
    <row r="94" spans="1:78" ht="14.4" hidden="1" outlineLevel="1" x14ac:dyDescent="0.3">
      <c r="A94" s="25"/>
      <c r="B94" s="26"/>
      <c r="C94" s="15"/>
      <c r="D94" s="15"/>
      <c r="E94" s="15"/>
      <c r="F94" s="15"/>
      <c r="G94" s="15"/>
      <c r="H94" s="17"/>
      <c r="I94" s="17"/>
      <c r="J94" s="18"/>
      <c r="K94" s="19"/>
      <c r="L94" s="27"/>
      <c r="M94" s="28"/>
      <c r="N94" s="2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4.4" hidden="1" outlineLevel="1" x14ac:dyDescent="0.3">
      <c r="A95" s="25"/>
      <c r="B95" s="26"/>
      <c r="C95" s="21"/>
      <c r="D95" s="15"/>
      <c r="E95" s="15"/>
      <c r="F95" s="15"/>
      <c r="G95" s="16"/>
      <c r="H95" s="17"/>
      <c r="I95" s="17"/>
      <c r="J95" s="18"/>
      <c r="K95" s="19"/>
      <c r="L95" s="27"/>
      <c r="M95" s="28"/>
      <c r="N95" s="2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4.4" hidden="1" outlineLevel="1" x14ac:dyDescent="0.3">
      <c r="A96" s="25"/>
      <c r="B96" s="14"/>
      <c r="C96" s="15"/>
      <c r="D96" s="15"/>
      <c r="E96" s="15"/>
      <c r="F96" s="15"/>
      <c r="G96" s="15"/>
      <c r="H96" s="17"/>
      <c r="I96" s="17"/>
      <c r="J96" s="18"/>
      <c r="K96" s="19"/>
      <c r="L96" s="17"/>
      <c r="M96" s="20"/>
      <c r="N96" s="15"/>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28.5" hidden="1" customHeight="1" outlineLevel="1" x14ac:dyDescent="0.3">
      <c r="A97" s="25"/>
      <c r="B97" s="14"/>
      <c r="C97" s="21"/>
      <c r="D97" s="15"/>
      <c r="E97" s="15"/>
      <c r="F97" s="15"/>
      <c r="G97" s="16"/>
      <c r="H97" s="29"/>
      <c r="I97" s="29"/>
      <c r="J97" s="30"/>
      <c r="K97" s="19"/>
      <c r="L97" s="17"/>
      <c r="M97" s="20"/>
      <c r="N97" s="15"/>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4.4" hidden="1" outlineLevel="1" x14ac:dyDescent="0.3">
      <c r="A98" s="25"/>
      <c r="B98" s="14"/>
      <c r="C98" s="21"/>
      <c r="D98" s="15"/>
      <c r="E98" s="15"/>
      <c r="F98" s="15"/>
      <c r="G98" s="16"/>
      <c r="H98" s="29"/>
      <c r="I98" s="29"/>
      <c r="J98" s="30"/>
      <c r="K98" s="19"/>
      <c r="L98" s="17"/>
      <c r="M98" s="20"/>
      <c r="N98" s="15"/>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4.4" hidden="1" outlineLevel="1" x14ac:dyDescent="0.3">
      <c r="A99" s="25"/>
      <c r="B99" s="14"/>
      <c r="C99" s="15"/>
      <c r="D99" s="15"/>
      <c r="E99" s="15"/>
      <c r="F99" s="15"/>
      <c r="G99" s="15"/>
      <c r="H99" s="17"/>
      <c r="I99" s="17"/>
      <c r="J99" s="18"/>
      <c r="K99" s="19"/>
      <c r="L99" s="17"/>
      <c r="M99" s="20"/>
      <c r="N99" s="15"/>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4.4" hidden="1" outlineLevel="1" x14ac:dyDescent="0.3">
      <c r="A100" s="25"/>
      <c r="B100" s="14"/>
      <c r="C100" s="21"/>
      <c r="D100" s="15"/>
      <c r="E100" s="15"/>
      <c r="F100" s="15"/>
      <c r="G100" s="16"/>
      <c r="H100" s="17"/>
      <c r="I100" s="17"/>
      <c r="J100" s="18"/>
      <c r="K100" s="19"/>
      <c r="L100" s="17"/>
      <c r="M100" s="20"/>
      <c r="N100" s="15"/>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4.4" hidden="1" outlineLevel="1" x14ac:dyDescent="0.3">
      <c r="A101" s="25"/>
      <c r="B101" s="14"/>
      <c r="C101" s="21"/>
      <c r="D101" s="21"/>
      <c r="E101" s="15"/>
      <c r="F101" s="15"/>
      <c r="G101" s="16"/>
      <c r="H101" s="17"/>
      <c r="I101" s="17"/>
      <c r="J101" s="18"/>
      <c r="K101" s="19"/>
      <c r="L101" s="17"/>
      <c r="M101" s="20"/>
      <c r="N101" s="15"/>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ht="14.4" hidden="1" outlineLevel="1" x14ac:dyDescent="0.3">
      <c r="A102" s="25"/>
      <c r="B102" s="14"/>
      <c r="C102" s="21"/>
      <c r="D102" s="15"/>
      <c r="E102" s="15"/>
      <c r="F102" s="15"/>
      <c r="G102" s="16"/>
      <c r="H102" s="17"/>
      <c r="I102" s="17"/>
      <c r="J102" s="18"/>
      <c r="K102" s="19"/>
      <c r="L102" s="17"/>
      <c r="M102" s="20"/>
      <c r="N102" s="15"/>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ht="14.4" hidden="1" outlineLevel="1" x14ac:dyDescent="0.3">
      <c r="A103" s="25"/>
      <c r="B103" s="14"/>
      <c r="C103" s="21"/>
      <c r="D103" s="15"/>
      <c r="E103" s="15"/>
      <c r="F103" s="15"/>
      <c r="G103" s="16"/>
      <c r="H103" s="17"/>
      <c r="I103" s="17"/>
      <c r="J103" s="18"/>
      <c r="K103" s="19"/>
      <c r="L103" s="17"/>
      <c r="M103" s="20"/>
      <c r="N103" s="15"/>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4.4" hidden="1" outlineLevel="1" x14ac:dyDescent="0.3">
      <c r="A104" s="25"/>
      <c r="B104" s="14"/>
      <c r="C104" s="15"/>
      <c r="D104" s="15"/>
      <c r="E104" s="15"/>
      <c r="F104" s="15"/>
      <c r="G104" s="15"/>
      <c r="H104" s="17"/>
      <c r="I104" s="17"/>
      <c r="J104" s="18"/>
      <c r="K104" s="19"/>
      <c r="L104" s="17"/>
      <c r="M104" s="20"/>
      <c r="N104" s="15"/>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4.4" hidden="1" outlineLevel="1" x14ac:dyDescent="0.3">
      <c r="A105" s="25"/>
      <c r="B105" s="14"/>
      <c r="C105" s="21"/>
      <c r="D105" s="15"/>
      <c r="E105" s="15"/>
      <c r="F105" s="15"/>
      <c r="G105" s="16"/>
      <c r="H105" s="17"/>
      <c r="I105" s="17"/>
      <c r="J105" s="18"/>
      <c r="K105" s="19"/>
      <c r="L105" s="17"/>
      <c r="M105" s="20"/>
      <c r="N105" s="15"/>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4.4" hidden="1" outlineLevel="1" x14ac:dyDescent="0.3">
      <c r="A106" s="25"/>
      <c r="B106" s="14"/>
      <c r="C106" s="15"/>
      <c r="D106" s="15"/>
      <c r="E106" s="15"/>
      <c r="F106" s="15"/>
      <c r="G106" s="15"/>
      <c r="H106" s="17"/>
      <c r="I106" s="17"/>
      <c r="J106" s="18"/>
      <c r="K106" s="19"/>
      <c r="L106" s="17"/>
      <c r="M106" s="20"/>
      <c r="N106" s="15"/>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ht="14.4" hidden="1" outlineLevel="1" x14ac:dyDescent="0.3">
      <c r="A107" s="25"/>
      <c r="B107" s="14"/>
      <c r="C107" s="21"/>
      <c r="D107" s="15"/>
      <c r="E107" s="15"/>
      <c r="F107" s="15"/>
      <c r="G107" s="16"/>
      <c r="H107" s="17"/>
      <c r="I107" s="17"/>
      <c r="J107" s="18"/>
      <c r="K107" s="19"/>
      <c r="L107" s="17"/>
      <c r="M107" s="20"/>
      <c r="N107" s="15"/>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s="60" customFormat="1" ht="14.4" collapsed="1" x14ac:dyDescent="0.3">
      <c r="A108" s="61"/>
      <c r="B108" s="62"/>
      <c r="C108" s="59"/>
      <c r="D108" s="59"/>
      <c r="E108" s="59"/>
      <c r="F108" s="59"/>
      <c r="G108" s="59"/>
      <c r="H108" s="55"/>
      <c r="I108" s="55"/>
      <c r="J108" s="63"/>
      <c r="K108" s="64"/>
      <c r="L108" s="55"/>
      <c r="M108" s="56"/>
      <c r="N108" s="59"/>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row>
    <row r="109" spans="1:78" ht="14.4" hidden="1" outlineLevel="1" x14ac:dyDescent="0.3">
      <c r="A109" s="25"/>
      <c r="B109" s="26"/>
      <c r="C109" s="15"/>
      <c r="D109" s="15"/>
      <c r="E109" s="15"/>
      <c r="F109" s="15"/>
      <c r="G109" s="15"/>
      <c r="H109" s="17"/>
      <c r="I109" s="17"/>
      <c r="J109" s="18"/>
      <c r="K109" s="19"/>
      <c r="L109" s="17"/>
      <c r="M109" s="20"/>
      <c r="N109" s="2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4.4" hidden="1" outlineLevel="1" x14ac:dyDescent="0.3">
      <c r="A110" s="25"/>
      <c r="B110" s="26"/>
      <c r="C110" s="21"/>
      <c r="D110" s="15"/>
      <c r="E110" s="15"/>
      <c r="F110" s="15"/>
      <c r="G110" s="16"/>
      <c r="H110" s="17"/>
      <c r="I110" s="17"/>
      <c r="J110" s="18"/>
      <c r="K110" s="19"/>
      <c r="L110" s="17"/>
      <c r="M110" s="20"/>
      <c r="N110" s="2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4.4" hidden="1" outlineLevel="1" x14ac:dyDescent="0.3">
      <c r="A111" s="25"/>
      <c r="B111" s="26"/>
      <c r="C111" s="15"/>
      <c r="D111" s="15"/>
      <c r="E111" s="15"/>
      <c r="F111" s="15"/>
      <c r="G111" s="16"/>
      <c r="H111" s="17"/>
      <c r="I111" s="17"/>
      <c r="J111" s="18"/>
      <c r="K111" s="19"/>
      <c r="L111" s="17"/>
      <c r="M111" s="20"/>
      <c r="N111" s="2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4.4" hidden="1" outlineLevel="1" x14ac:dyDescent="0.3">
      <c r="A112" s="25"/>
      <c r="B112" s="26"/>
      <c r="C112" s="21"/>
      <c r="D112" s="15"/>
      <c r="E112" s="15"/>
      <c r="F112" s="15"/>
      <c r="G112" s="16"/>
      <c r="H112" s="17"/>
      <c r="I112" s="17"/>
      <c r="J112" s="18"/>
      <c r="K112" s="19"/>
      <c r="L112" s="17"/>
      <c r="N112" s="2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s="60" customFormat="1" ht="14.4" collapsed="1" x14ac:dyDescent="0.3">
      <c r="A113" s="65"/>
      <c r="B113" s="62"/>
      <c r="C113" s="59"/>
      <c r="D113" s="59"/>
      <c r="E113" s="59"/>
      <c r="F113" s="59"/>
      <c r="G113" s="59"/>
      <c r="H113" s="55"/>
      <c r="I113" s="55"/>
      <c r="J113" s="63"/>
      <c r="K113" s="64"/>
      <c r="L113" s="55"/>
      <c r="M113" s="56"/>
      <c r="N113" s="59"/>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row>
    <row r="114" spans="1:78" ht="14.4" hidden="1" outlineLevel="1" x14ac:dyDescent="0.3">
      <c r="A114" s="13"/>
      <c r="B114" s="14"/>
      <c r="C114" s="15"/>
      <c r="D114" s="15"/>
      <c r="E114" s="15"/>
      <c r="F114" s="15"/>
      <c r="G114" s="16"/>
      <c r="H114" s="17"/>
      <c r="I114" s="17"/>
      <c r="J114" s="18"/>
      <c r="K114" s="19"/>
      <c r="N114" s="15"/>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4.4" hidden="1" outlineLevel="1" x14ac:dyDescent="0.3">
      <c r="A115" s="13"/>
      <c r="B115" s="14"/>
      <c r="C115" s="21"/>
      <c r="D115" s="15"/>
      <c r="E115" s="15"/>
      <c r="F115" s="15"/>
      <c r="G115" s="16"/>
      <c r="H115" s="17"/>
      <c r="I115" s="17"/>
      <c r="J115" s="18"/>
      <c r="K115" s="19"/>
      <c r="N115" s="15"/>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4.4" hidden="1" outlineLevel="1" x14ac:dyDescent="0.3">
      <c r="A116" s="13"/>
      <c r="B116" s="14"/>
      <c r="C116" s="21"/>
      <c r="D116" s="15"/>
      <c r="E116" s="15"/>
      <c r="F116" s="15"/>
      <c r="G116" s="16"/>
      <c r="H116" s="17"/>
      <c r="I116" s="17"/>
      <c r="J116" s="18"/>
      <c r="K116" s="19"/>
      <c r="N116" s="15"/>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4.4" hidden="1" outlineLevel="1" x14ac:dyDescent="0.3">
      <c r="A117" s="13"/>
      <c r="B117" s="14"/>
      <c r="C117" s="15"/>
      <c r="D117" s="15"/>
      <c r="E117" s="15"/>
      <c r="F117" s="15"/>
      <c r="G117" s="16"/>
      <c r="H117" s="17"/>
      <c r="I117" s="17"/>
      <c r="J117" s="18"/>
      <c r="K117" s="19"/>
      <c r="N117" s="15"/>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4.4" hidden="1" outlineLevel="1" x14ac:dyDescent="0.3">
      <c r="A118" s="13"/>
      <c r="B118" s="14"/>
      <c r="C118" s="21"/>
      <c r="D118" s="15"/>
      <c r="E118" s="15"/>
      <c r="F118" s="15"/>
      <c r="G118" s="16"/>
      <c r="H118" s="17"/>
      <c r="I118" s="17"/>
      <c r="J118" s="18"/>
      <c r="K118" s="19"/>
      <c r="N118" s="15"/>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4.4" hidden="1" outlineLevel="1" x14ac:dyDescent="0.3">
      <c r="A119" s="13"/>
      <c r="B119" s="14"/>
      <c r="C119" s="21"/>
      <c r="D119" s="21"/>
      <c r="E119" s="15"/>
      <c r="F119" s="15"/>
      <c r="G119" s="16"/>
      <c r="H119" s="17"/>
      <c r="I119" s="17"/>
      <c r="J119" s="18"/>
      <c r="K119" s="19"/>
      <c r="N119" s="15"/>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4.4" hidden="1" outlineLevel="1" x14ac:dyDescent="0.3">
      <c r="A120" s="13"/>
      <c r="B120" s="14"/>
      <c r="C120" s="21"/>
      <c r="D120" s="21"/>
      <c r="E120" s="15"/>
      <c r="F120" s="15"/>
      <c r="G120" s="16"/>
      <c r="H120" s="17"/>
      <c r="I120" s="17"/>
      <c r="J120" s="18"/>
      <c r="K120" s="19"/>
      <c r="N120" s="15"/>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4.4" hidden="1" outlineLevel="1" x14ac:dyDescent="0.3">
      <c r="A121" s="13"/>
      <c r="B121" s="14"/>
      <c r="C121" s="21"/>
      <c r="D121" s="21"/>
      <c r="E121" s="15"/>
      <c r="F121" s="15"/>
      <c r="G121" s="16"/>
      <c r="H121" s="17"/>
      <c r="I121" s="17"/>
      <c r="J121" s="18"/>
      <c r="K121" s="19"/>
      <c r="N121" s="15"/>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4.4" hidden="1" outlineLevel="1" x14ac:dyDescent="0.3">
      <c r="A122" s="13"/>
      <c r="B122" s="14"/>
      <c r="C122" s="21"/>
      <c r="D122" s="15"/>
      <c r="E122" s="15"/>
      <c r="F122" s="15"/>
      <c r="G122" s="16"/>
      <c r="H122" s="17"/>
      <c r="I122" s="17"/>
      <c r="J122" s="18"/>
      <c r="K122" s="19"/>
      <c r="N122" s="15"/>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4.4" hidden="1" outlineLevel="1" x14ac:dyDescent="0.3">
      <c r="A123" s="13"/>
      <c r="B123" s="14"/>
      <c r="C123" s="21"/>
      <c r="D123" s="21"/>
      <c r="E123" s="15"/>
      <c r="F123" s="15"/>
      <c r="G123" s="16"/>
      <c r="H123" s="17"/>
      <c r="I123" s="17"/>
      <c r="J123" s="18"/>
      <c r="K123" s="19"/>
      <c r="N123" s="15"/>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4.4" hidden="1" outlineLevel="1" x14ac:dyDescent="0.3">
      <c r="A124" s="13"/>
      <c r="B124" s="14"/>
      <c r="C124" s="21"/>
      <c r="D124" s="21"/>
      <c r="E124" s="15"/>
      <c r="F124" s="15"/>
      <c r="G124" s="16"/>
      <c r="H124" s="17"/>
      <c r="I124" s="17"/>
      <c r="J124" s="18"/>
      <c r="K124" s="19"/>
      <c r="N124" s="15"/>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4.4" hidden="1" outlineLevel="1" x14ac:dyDescent="0.3">
      <c r="A125" s="13"/>
      <c r="B125" s="14"/>
      <c r="C125" s="21"/>
      <c r="D125" s="21"/>
      <c r="E125" s="15"/>
      <c r="F125" s="15"/>
      <c r="G125" s="16"/>
      <c r="H125" s="17"/>
      <c r="I125" s="17"/>
      <c r="J125" s="18"/>
      <c r="K125" s="19"/>
      <c r="N125" s="15"/>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4.4" hidden="1" outlineLevel="1" x14ac:dyDescent="0.3">
      <c r="A126" s="13"/>
      <c r="B126" s="14"/>
      <c r="C126" s="21"/>
      <c r="D126" s="21"/>
      <c r="E126" s="15"/>
      <c r="F126" s="15"/>
      <c r="G126" s="16"/>
      <c r="H126" s="17"/>
      <c r="I126" s="17"/>
      <c r="J126" s="18"/>
      <c r="K126" s="19"/>
      <c r="N126" s="15"/>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ht="14.4" hidden="1" outlineLevel="1" x14ac:dyDescent="0.3">
      <c r="A127" s="13"/>
      <c r="B127" s="14"/>
      <c r="C127" s="21"/>
      <c r="D127" s="21"/>
      <c r="E127" s="15"/>
      <c r="F127" s="15"/>
      <c r="G127" s="16"/>
      <c r="H127" s="17"/>
      <c r="I127" s="17"/>
      <c r="J127" s="18"/>
      <c r="K127" s="19"/>
      <c r="N127" s="15"/>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ht="14.4" hidden="1" outlineLevel="1" x14ac:dyDescent="0.3">
      <c r="A128" s="13"/>
      <c r="B128" s="14"/>
      <c r="C128" s="15"/>
      <c r="D128" s="15"/>
      <c r="E128" s="15"/>
      <c r="F128" s="15"/>
      <c r="G128" s="16"/>
      <c r="H128" s="17"/>
      <c r="I128" s="17"/>
      <c r="J128" s="18"/>
      <c r="K128" s="19"/>
      <c r="N128" s="15"/>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78" ht="14.4" hidden="1" outlineLevel="1" x14ac:dyDescent="0.3">
      <c r="A129" s="13"/>
      <c r="B129" s="14"/>
      <c r="C129" s="15"/>
      <c r="D129" s="15"/>
      <c r="E129" s="15"/>
      <c r="F129" s="15"/>
      <c r="G129" s="16"/>
      <c r="H129" s="17"/>
      <c r="I129" s="17"/>
      <c r="J129" s="18"/>
      <c r="K129" s="19"/>
      <c r="N129" s="15"/>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78" ht="14.4" hidden="1" outlineLevel="1" x14ac:dyDescent="0.3">
      <c r="A130" s="13"/>
      <c r="B130" s="14"/>
      <c r="C130" s="15"/>
      <c r="D130" s="15"/>
      <c r="E130" s="15"/>
      <c r="F130" s="15"/>
      <c r="G130" s="15"/>
      <c r="H130" s="17"/>
      <c r="I130" s="17"/>
      <c r="J130" s="18"/>
      <c r="K130" s="19"/>
      <c r="N130" s="15"/>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78" ht="14.4" hidden="1" outlineLevel="1" x14ac:dyDescent="0.3">
      <c r="A131" s="13"/>
      <c r="B131" s="14"/>
      <c r="C131" s="15"/>
      <c r="D131" s="15"/>
      <c r="E131" s="15"/>
      <c r="F131" s="15"/>
      <c r="G131" s="16"/>
      <c r="H131" s="17"/>
      <c r="I131" s="40">
        <v>46166</v>
      </c>
      <c r="J131" s="18"/>
      <c r="K131" s="19"/>
      <c r="N131" s="15"/>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78" ht="14.4" collapsed="1" x14ac:dyDescent="0.3">
      <c r="K132" s="19"/>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78" x14ac:dyDescent="0.25">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78" x14ac:dyDescent="0.25">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78" x14ac:dyDescent="0.25">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78" x14ac:dyDescent="0.25">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78" x14ac:dyDescent="0.25">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78" x14ac:dyDescent="0.25">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78" x14ac:dyDescent="0.25">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78" x14ac:dyDescent="0.25">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78" x14ac:dyDescent="0.25">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78" x14ac:dyDescent="0.25">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78" x14ac:dyDescent="0.25">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78" x14ac:dyDescent="0.25">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3:78" x14ac:dyDescent="0.25">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3:78" x14ac:dyDescent="0.25">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3:78" x14ac:dyDescent="0.25">
      <c r="C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3:78" x14ac:dyDescent="0.25">
      <c r="C148" s="6"/>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3:78" x14ac:dyDescent="0.25">
      <c r="C149" s="6"/>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3:78" x14ac:dyDescent="0.25">
      <c r="C150" s="6"/>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3:78" x14ac:dyDescent="0.25">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3:78" x14ac:dyDescent="0.25">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3:78" x14ac:dyDescent="0.25">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3:78" x14ac:dyDescent="0.25">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3:78" x14ac:dyDescent="0.25">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3:78" x14ac:dyDescent="0.25">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3:78" x14ac:dyDescent="0.25">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3:78" x14ac:dyDescent="0.25">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3:78" x14ac:dyDescent="0.25">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3:78" x14ac:dyDescent="0.25">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x14ac:dyDescent="0.25">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x14ac:dyDescent="0.25">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x14ac:dyDescent="0.25">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x14ac:dyDescent="0.25">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x14ac:dyDescent="0.25">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x14ac:dyDescent="0.25">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x14ac:dyDescent="0.25">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x14ac:dyDescent="0.25">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x14ac:dyDescent="0.25">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x14ac:dyDescent="0.25">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x14ac:dyDescent="0.25">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x14ac:dyDescent="0.25">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x14ac:dyDescent="0.25">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x14ac:dyDescent="0.25">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x14ac:dyDescent="0.25">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x14ac:dyDescent="0.25">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x14ac:dyDescent="0.25">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x14ac:dyDescent="0.25">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x14ac:dyDescent="0.25">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x14ac:dyDescent="0.25">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x14ac:dyDescent="0.25">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x14ac:dyDescent="0.25">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x14ac:dyDescent="0.25">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x14ac:dyDescent="0.25">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x14ac:dyDescent="0.25">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x14ac:dyDescent="0.25">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x14ac:dyDescent="0.25">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x14ac:dyDescent="0.25">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x14ac:dyDescent="0.25">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x14ac:dyDescent="0.25">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x14ac:dyDescent="0.25">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x14ac:dyDescent="0.25">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x14ac:dyDescent="0.25">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x14ac:dyDescent="0.25">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x14ac:dyDescent="0.25">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x14ac:dyDescent="0.25">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x14ac:dyDescent="0.25">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x14ac:dyDescent="0.25">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x14ac:dyDescent="0.25">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x14ac:dyDescent="0.25">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x14ac:dyDescent="0.25">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x14ac:dyDescent="0.25">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x14ac:dyDescent="0.25">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x14ac:dyDescent="0.25">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x14ac:dyDescent="0.25">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x14ac:dyDescent="0.25">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x14ac:dyDescent="0.25">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x14ac:dyDescent="0.25">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x14ac:dyDescent="0.25">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x14ac:dyDescent="0.25">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x14ac:dyDescent="0.25">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x14ac:dyDescent="0.25">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x14ac:dyDescent="0.25">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x14ac:dyDescent="0.25">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x14ac:dyDescent="0.25">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x14ac:dyDescent="0.25">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x14ac:dyDescent="0.25">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x14ac:dyDescent="0.25">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x14ac:dyDescent="0.25">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x14ac:dyDescent="0.25">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x14ac:dyDescent="0.25">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x14ac:dyDescent="0.25">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x14ac:dyDescent="0.25">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x14ac:dyDescent="0.25">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x14ac:dyDescent="0.25">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x14ac:dyDescent="0.25">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x14ac:dyDescent="0.25">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x14ac:dyDescent="0.25">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x14ac:dyDescent="0.25">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x14ac:dyDescent="0.25">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x14ac:dyDescent="0.25">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x14ac:dyDescent="0.25">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x14ac:dyDescent="0.25">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x14ac:dyDescent="0.25">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x14ac:dyDescent="0.25">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x14ac:dyDescent="0.25">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x14ac:dyDescent="0.25">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x14ac:dyDescent="0.25">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x14ac:dyDescent="0.25">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x14ac:dyDescent="0.25">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x14ac:dyDescent="0.25">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x14ac:dyDescent="0.25">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x14ac:dyDescent="0.25">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x14ac:dyDescent="0.25">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x14ac:dyDescent="0.25">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x14ac:dyDescent="0.25">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x14ac:dyDescent="0.25">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x14ac:dyDescent="0.25">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x14ac:dyDescent="0.25">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x14ac:dyDescent="0.25">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x14ac:dyDescent="0.25">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x14ac:dyDescent="0.25">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x14ac:dyDescent="0.25">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x14ac:dyDescent="0.25">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x14ac:dyDescent="0.25">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x14ac:dyDescent="0.25">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x14ac:dyDescent="0.25">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x14ac:dyDescent="0.25">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x14ac:dyDescent="0.25">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x14ac:dyDescent="0.25">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x14ac:dyDescent="0.25">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x14ac:dyDescent="0.25">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x14ac:dyDescent="0.25">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x14ac:dyDescent="0.25">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x14ac:dyDescent="0.25">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x14ac:dyDescent="0.25">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x14ac:dyDescent="0.25">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x14ac:dyDescent="0.25">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x14ac:dyDescent="0.25">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x14ac:dyDescent="0.25">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x14ac:dyDescent="0.25">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x14ac:dyDescent="0.25">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x14ac:dyDescent="0.25">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x14ac:dyDescent="0.25">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x14ac:dyDescent="0.25">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x14ac:dyDescent="0.25">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x14ac:dyDescent="0.25">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x14ac:dyDescent="0.25">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x14ac:dyDescent="0.25">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x14ac:dyDescent="0.25">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x14ac:dyDescent="0.25">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x14ac:dyDescent="0.25">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x14ac:dyDescent="0.25">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x14ac:dyDescent="0.25">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x14ac:dyDescent="0.25">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x14ac:dyDescent="0.25">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x14ac:dyDescent="0.25">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x14ac:dyDescent="0.25">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x14ac:dyDescent="0.25">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x14ac:dyDescent="0.25">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x14ac:dyDescent="0.25">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x14ac:dyDescent="0.25">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x14ac:dyDescent="0.25">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x14ac:dyDescent="0.25">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x14ac:dyDescent="0.25">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x14ac:dyDescent="0.25">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x14ac:dyDescent="0.25">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x14ac:dyDescent="0.25">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x14ac:dyDescent="0.25">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x14ac:dyDescent="0.25">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x14ac:dyDescent="0.25">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x14ac:dyDescent="0.25">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x14ac:dyDescent="0.25">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x14ac:dyDescent="0.25">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x14ac:dyDescent="0.25">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x14ac:dyDescent="0.25">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x14ac:dyDescent="0.25">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x14ac:dyDescent="0.25">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x14ac:dyDescent="0.25">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x14ac:dyDescent="0.25">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x14ac:dyDescent="0.25">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x14ac:dyDescent="0.25">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x14ac:dyDescent="0.25">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x14ac:dyDescent="0.25">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x14ac:dyDescent="0.25">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x14ac:dyDescent="0.25">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x14ac:dyDescent="0.25">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x14ac:dyDescent="0.25">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x14ac:dyDescent="0.25">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x14ac:dyDescent="0.25">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x14ac:dyDescent="0.25">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x14ac:dyDescent="0.25">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x14ac:dyDescent="0.25">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x14ac:dyDescent="0.25">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x14ac:dyDescent="0.25">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x14ac:dyDescent="0.25">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x14ac:dyDescent="0.25">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x14ac:dyDescent="0.25">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x14ac:dyDescent="0.25">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x14ac:dyDescent="0.25">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x14ac:dyDescent="0.25">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x14ac:dyDescent="0.25">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x14ac:dyDescent="0.25">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x14ac:dyDescent="0.25">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x14ac:dyDescent="0.25">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x14ac:dyDescent="0.25">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x14ac:dyDescent="0.25">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x14ac:dyDescent="0.25">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x14ac:dyDescent="0.25">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x14ac:dyDescent="0.25">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x14ac:dyDescent="0.25">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x14ac:dyDescent="0.25">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x14ac:dyDescent="0.25">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x14ac:dyDescent="0.25">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x14ac:dyDescent="0.25">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x14ac:dyDescent="0.25">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x14ac:dyDescent="0.25">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x14ac:dyDescent="0.25">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x14ac:dyDescent="0.25">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x14ac:dyDescent="0.25">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x14ac:dyDescent="0.25">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x14ac:dyDescent="0.25">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x14ac:dyDescent="0.25">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x14ac:dyDescent="0.25">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x14ac:dyDescent="0.25">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x14ac:dyDescent="0.25">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x14ac:dyDescent="0.25">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x14ac:dyDescent="0.25">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x14ac:dyDescent="0.25">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x14ac:dyDescent="0.25">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x14ac:dyDescent="0.25">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x14ac:dyDescent="0.25">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x14ac:dyDescent="0.25">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x14ac:dyDescent="0.25">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x14ac:dyDescent="0.25">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x14ac:dyDescent="0.25">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x14ac:dyDescent="0.25">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x14ac:dyDescent="0.25">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x14ac:dyDescent="0.25">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x14ac:dyDescent="0.25">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x14ac:dyDescent="0.25">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x14ac:dyDescent="0.25">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x14ac:dyDescent="0.25">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x14ac:dyDescent="0.25">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x14ac:dyDescent="0.25">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x14ac:dyDescent="0.25">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x14ac:dyDescent="0.25">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x14ac:dyDescent="0.25">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x14ac:dyDescent="0.25">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x14ac:dyDescent="0.25">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x14ac:dyDescent="0.25">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x14ac:dyDescent="0.25">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x14ac:dyDescent="0.25">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x14ac:dyDescent="0.25">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x14ac:dyDescent="0.25">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x14ac:dyDescent="0.25">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x14ac:dyDescent="0.25">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x14ac:dyDescent="0.25">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x14ac:dyDescent="0.25">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x14ac:dyDescent="0.25">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x14ac:dyDescent="0.25">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x14ac:dyDescent="0.25">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x14ac:dyDescent="0.25">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x14ac:dyDescent="0.25">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x14ac:dyDescent="0.25">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x14ac:dyDescent="0.25">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x14ac:dyDescent="0.25">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x14ac:dyDescent="0.25">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x14ac:dyDescent="0.25">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x14ac:dyDescent="0.25">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x14ac:dyDescent="0.25">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x14ac:dyDescent="0.25">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x14ac:dyDescent="0.25">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x14ac:dyDescent="0.25">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x14ac:dyDescent="0.25">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x14ac:dyDescent="0.25">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x14ac:dyDescent="0.25">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x14ac:dyDescent="0.25">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x14ac:dyDescent="0.25">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x14ac:dyDescent="0.25">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x14ac:dyDescent="0.25">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x14ac:dyDescent="0.25">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x14ac:dyDescent="0.25">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x14ac:dyDescent="0.25">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x14ac:dyDescent="0.25">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x14ac:dyDescent="0.25">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x14ac:dyDescent="0.25">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x14ac:dyDescent="0.25">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x14ac:dyDescent="0.25">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x14ac:dyDescent="0.25">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x14ac:dyDescent="0.25">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x14ac:dyDescent="0.25">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x14ac:dyDescent="0.25">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x14ac:dyDescent="0.25">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x14ac:dyDescent="0.25">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x14ac:dyDescent="0.25">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x14ac:dyDescent="0.25">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x14ac:dyDescent="0.25">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x14ac:dyDescent="0.25">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x14ac:dyDescent="0.25">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x14ac:dyDescent="0.25">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x14ac:dyDescent="0.25">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x14ac:dyDescent="0.25">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x14ac:dyDescent="0.25">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x14ac:dyDescent="0.25">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x14ac:dyDescent="0.25">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x14ac:dyDescent="0.25">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x14ac:dyDescent="0.25">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x14ac:dyDescent="0.25">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x14ac:dyDescent="0.25">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x14ac:dyDescent="0.25">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x14ac:dyDescent="0.25">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x14ac:dyDescent="0.25">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x14ac:dyDescent="0.25">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x14ac:dyDescent="0.25">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x14ac:dyDescent="0.25">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x14ac:dyDescent="0.25">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x14ac:dyDescent="0.25">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x14ac:dyDescent="0.25">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x14ac:dyDescent="0.25">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x14ac:dyDescent="0.25">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x14ac:dyDescent="0.25">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x14ac:dyDescent="0.25">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x14ac:dyDescent="0.25">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x14ac:dyDescent="0.25">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x14ac:dyDescent="0.25">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x14ac:dyDescent="0.25">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x14ac:dyDescent="0.25">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x14ac:dyDescent="0.25">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x14ac:dyDescent="0.25">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x14ac:dyDescent="0.25">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x14ac:dyDescent="0.25">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x14ac:dyDescent="0.25">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x14ac:dyDescent="0.25">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x14ac:dyDescent="0.25">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x14ac:dyDescent="0.25">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x14ac:dyDescent="0.25">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x14ac:dyDescent="0.25">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x14ac:dyDescent="0.25">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x14ac:dyDescent="0.25">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x14ac:dyDescent="0.25">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x14ac:dyDescent="0.25">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x14ac:dyDescent="0.25">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x14ac:dyDescent="0.25">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x14ac:dyDescent="0.25">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x14ac:dyDescent="0.25">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x14ac:dyDescent="0.25">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x14ac:dyDescent="0.25">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x14ac:dyDescent="0.25">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x14ac:dyDescent="0.25">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x14ac:dyDescent="0.25">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x14ac:dyDescent="0.25">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x14ac:dyDescent="0.25">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x14ac:dyDescent="0.25">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x14ac:dyDescent="0.25">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x14ac:dyDescent="0.25">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x14ac:dyDescent="0.25">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x14ac:dyDescent="0.25">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x14ac:dyDescent="0.25">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x14ac:dyDescent="0.25">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x14ac:dyDescent="0.25">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x14ac:dyDescent="0.25">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x14ac:dyDescent="0.25">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x14ac:dyDescent="0.2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x14ac:dyDescent="0.2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x14ac:dyDescent="0.25">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x14ac:dyDescent="0.25">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x14ac:dyDescent="0.25">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x14ac:dyDescent="0.25">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x14ac:dyDescent="0.25">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x14ac:dyDescent="0.25">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x14ac:dyDescent="0.25">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x14ac:dyDescent="0.25">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x14ac:dyDescent="0.25">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x14ac:dyDescent="0.25">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x14ac:dyDescent="0.25">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x14ac:dyDescent="0.25">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x14ac:dyDescent="0.25">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x14ac:dyDescent="0.25">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x14ac:dyDescent="0.25">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x14ac:dyDescent="0.25">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x14ac:dyDescent="0.25">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x14ac:dyDescent="0.25">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x14ac:dyDescent="0.25">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x14ac:dyDescent="0.25">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x14ac:dyDescent="0.25">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x14ac:dyDescent="0.25">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x14ac:dyDescent="0.25">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x14ac:dyDescent="0.25">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x14ac:dyDescent="0.25">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x14ac:dyDescent="0.25">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x14ac:dyDescent="0.25">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x14ac:dyDescent="0.25">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x14ac:dyDescent="0.25">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x14ac:dyDescent="0.25">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x14ac:dyDescent="0.25">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x14ac:dyDescent="0.25">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x14ac:dyDescent="0.25">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x14ac:dyDescent="0.25">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x14ac:dyDescent="0.25">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x14ac:dyDescent="0.25">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x14ac:dyDescent="0.25">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x14ac:dyDescent="0.25">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x14ac:dyDescent="0.25">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x14ac:dyDescent="0.25">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x14ac:dyDescent="0.25">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x14ac:dyDescent="0.25">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x14ac:dyDescent="0.25">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x14ac:dyDescent="0.25">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x14ac:dyDescent="0.25">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x14ac:dyDescent="0.25">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x14ac:dyDescent="0.25">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x14ac:dyDescent="0.25">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x14ac:dyDescent="0.25">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x14ac:dyDescent="0.25">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x14ac:dyDescent="0.25">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x14ac:dyDescent="0.25">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x14ac:dyDescent="0.25">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x14ac:dyDescent="0.25">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x14ac:dyDescent="0.25">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x14ac:dyDescent="0.25">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x14ac:dyDescent="0.25">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x14ac:dyDescent="0.25">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x14ac:dyDescent="0.25">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x14ac:dyDescent="0.25">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x14ac:dyDescent="0.25">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x14ac:dyDescent="0.25">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x14ac:dyDescent="0.25">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x14ac:dyDescent="0.25">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x14ac:dyDescent="0.25">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x14ac:dyDescent="0.25">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x14ac:dyDescent="0.25">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x14ac:dyDescent="0.25">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x14ac:dyDescent="0.25">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x14ac:dyDescent="0.25">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x14ac:dyDescent="0.25">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x14ac:dyDescent="0.25">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x14ac:dyDescent="0.25">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x14ac:dyDescent="0.25">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x14ac:dyDescent="0.25">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x14ac:dyDescent="0.25">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x14ac:dyDescent="0.25">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x14ac:dyDescent="0.25">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x14ac:dyDescent="0.25">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x14ac:dyDescent="0.25">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x14ac:dyDescent="0.25">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x14ac:dyDescent="0.25">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x14ac:dyDescent="0.25">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x14ac:dyDescent="0.25">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x14ac:dyDescent="0.25">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x14ac:dyDescent="0.25">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x14ac:dyDescent="0.25">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x14ac:dyDescent="0.25">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x14ac:dyDescent="0.25">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x14ac:dyDescent="0.25">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x14ac:dyDescent="0.25">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x14ac:dyDescent="0.25">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x14ac:dyDescent="0.25">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x14ac:dyDescent="0.25">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x14ac:dyDescent="0.25">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x14ac:dyDescent="0.25">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x14ac:dyDescent="0.25">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x14ac:dyDescent="0.25">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x14ac:dyDescent="0.25">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x14ac:dyDescent="0.25">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x14ac:dyDescent="0.25">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x14ac:dyDescent="0.25">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x14ac:dyDescent="0.25">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x14ac:dyDescent="0.25">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x14ac:dyDescent="0.25">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x14ac:dyDescent="0.25">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x14ac:dyDescent="0.25">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x14ac:dyDescent="0.25">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x14ac:dyDescent="0.25">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x14ac:dyDescent="0.25">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x14ac:dyDescent="0.25">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x14ac:dyDescent="0.25">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x14ac:dyDescent="0.25">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x14ac:dyDescent="0.25">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x14ac:dyDescent="0.25">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x14ac:dyDescent="0.25">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x14ac:dyDescent="0.25">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x14ac:dyDescent="0.25">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x14ac:dyDescent="0.25">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x14ac:dyDescent="0.25">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x14ac:dyDescent="0.25">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x14ac:dyDescent="0.25">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x14ac:dyDescent="0.25">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x14ac:dyDescent="0.25">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x14ac:dyDescent="0.25">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x14ac:dyDescent="0.25">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x14ac:dyDescent="0.25">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x14ac:dyDescent="0.25">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x14ac:dyDescent="0.25">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x14ac:dyDescent="0.25">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x14ac:dyDescent="0.25">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x14ac:dyDescent="0.25">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x14ac:dyDescent="0.25">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x14ac:dyDescent="0.25">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x14ac:dyDescent="0.25">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x14ac:dyDescent="0.25">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x14ac:dyDescent="0.25">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x14ac:dyDescent="0.25">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x14ac:dyDescent="0.25">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x14ac:dyDescent="0.25">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x14ac:dyDescent="0.25">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x14ac:dyDescent="0.25">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x14ac:dyDescent="0.25">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x14ac:dyDescent="0.25">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x14ac:dyDescent="0.25">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x14ac:dyDescent="0.25">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x14ac:dyDescent="0.25">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x14ac:dyDescent="0.25">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x14ac:dyDescent="0.25">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x14ac:dyDescent="0.25">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x14ac:dyDescent="0.25">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x14ac:dyDescent="0.25">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x14ac:dyDescent="0.25">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x14ac:dyDescent="0.25">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x14ac:dyDescent="0.25">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x14ac:dyDescent="0.25">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x14ac:dyDescent="0.25">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x14ac:dyDescent="0.25">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x14ac:dyDescent="0.25">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x14ac:dyDescent="0.25">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x14ac:dyDescent="0.25">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x14ac:dyDescent="0.25">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x14ac:dyDescent="0.25">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x14ac:dyDescent="0.25">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x14ac:dyDescent="0.25">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x14ac:dyDescent="0.25">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x14ac:dyDescent="0.25">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x14ac:dyDescent="0.25">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x14ac:dyDescent="0.25">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x14ac:dyDescent="0.25">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x14ac:dyDescent="0.25">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x14ac:dyDescent="0.25">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x14ac:dyDescent="0.25">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x14ac:dyDescent="0.25">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x14ac:dyDescent="0.25">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x14ac:dyDescent="0.25">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x14ac:dyDescent="0.25">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x14ac:dyDescent="0.25">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x14ac:dyDescent="0.25">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x14ac:dyDescent="0.25">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x14ac:dyDescent="0.25">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x14ac:dyDescent="0.25">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x14ac:dyDescent="0.25">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x14ac:dyDescent="0.25">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x14ac:dyDescent="0.25">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x14ac:dyDescent="0.25">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x14ac:dyDescent="0.25">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x14ac:dyDescent="0.25">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x14ac:dyDescent="0.25">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x14ac:dyDescent="0.25">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x14ac:dyDescent="0.25">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x14ac:dyDescent="0.25">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x14ac:dyDescent="0.25">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x14ac:dyDescent="0.25">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x14ac:dyDescent="0.25">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x14ac:dyDescent="0.25">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x14ac:dyDescent="0.25">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x14ac:dyDescent="0.25">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x14ac:dyDescent="0.25">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x14ac:dyDescent="0.25">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x14ac:dyDescent="0.25">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x14ac:dyDescent="0.25">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x14ac:dyDescent="0.25">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x14ac:dyDescent="0.25">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x14ac:dyDescent="0.25">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x14ac:dyDescent="0.25">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x14ac:dyDescent="0.25">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x14ac:dyDescent="0.25">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x14ac:dyDescent="0.25">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x14ac:dyDescent="0.25">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x14ac:dyDescent="0.25">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x14ac:dyDescent="0.25">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x14ac:dyDescent="0.25">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x14ac:dyDescent="0.25">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x14ac:dyDescent="0.25">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x14ac:dyDescent="0.25">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x14ac:dyDescent="0.25">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x14ac:dyDescent="0.25">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x14ac:dyDescent="0.25">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x14ac:dyDescent="0.25">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x14ac:dyDescent="0.25">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x14ac:dyDescent="0.25">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x14ac:dyDescent="0.25">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x14ac:dyDescent="0.25">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x14ac:dyDescent="0.25">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x14ac:dyDescent="0.25">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x14ac:dyDescent="0.25">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x14ac:dyDescent="0.25">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x14ac:dyDescent="0.25">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x14ac:dyDescent="0.25">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x14ac:dyDescent="0.25">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x14ac:dyDescent="0.25">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x14ac:dyDescent="0.25">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x14ac:dyDescent="0.25">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x14ac:dyDescent="0.25">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x14ac:dyDescent="0.25">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x14ac:dyDescent="0.25">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x14ac:dyDescent="0.25">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x14ac:dyDescent="0.25">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x14ac:dyDescent="0.25">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x14ac:dyDescent="0.25">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x14ac:dyDescent="0.25">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x14ac:dyDescent="0.25">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x14ac:dyDescent="0.25">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x14ac:dyDescent="0.25">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x14ac:dyDescent="0.25">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x14ac:dyDescent="0.25">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x14ac:dyDescent="0.25">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x14ac:dyDescent="0.25">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x14ac:dyDescent="0.25">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x14ac:dyDescent="0.25">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x14ac:dyDescent="0.25">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x14ac:dyDescent="0.25">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x14ac:dyDescent="0.25">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x14ac:dyDescent="0.25">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x14ac:dyDescent="0.25">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x14ac:dyDescent="0.25">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x14ac:dyDescent="0.25">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x14ac:dyDescent="0.25">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x14ac:dyDescent="0.25">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x14ac:dyDescent="0.25">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x14ac:dyDescent="0.25">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x14ac:dyDescent="0.25">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x14ac:dyDescent="0.25">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x14ac:dyDescent="0.25">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x14ac:dyDescent="0.25">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x14ac:dyDescent="0.25">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x14ac:dyDescent="0.25">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x14ac:dyDescent="0.25">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x14ac:dyDescent="0.25">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x14ac:dyDescent="0.25">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x14ac:dyDescent="0.25">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x14ac:dyDescent="0.25">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x14ac:dyDescent="0.25">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x14ac:dyDescent="0.25">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x14ac:dyDescent="0.25">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x14ac:dyDescent="0.25">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x14ac:dyDescent="0.25">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x14ac:dyDescent="0.25">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x14ac:dyDescent="0.25">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x14ac:dyDescent="0.25">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x14ac:dyDescent="0.25">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x14ac:dyDescent="0.25">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x14ac:dyDescent="0.25">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x14ac:dyDescent="0.25">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x14ac:dyDescent="0.25">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x14ac:dyDescent="0.25">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x14ac:dyDescent="0.25">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x14ac:dyDescent="0.25">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x14ac:dyDescent="0.25">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x14ac:dyDescent="0.25">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x14ac:dyDescent="0.25">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x14ac:dyDescent="0.25">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x14ac:dyDescent="0.25">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x14ac:dyDescent="0.25">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x14ac:dyDescent="0.25">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x14ac:dyDescent="0.25">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x14ac:dyDescent="0.25">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x14ac:dyDescent="0.25">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x14ac:dyDescent="0.25">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x14ac:dyDescent="0.25">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x14ac:dyDescent="0.25">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x14ac:dyDescent="0.25">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x14ac:dyDescent="0.25">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x14ac:dyDescent="0.25">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x14ac:dyDescent="0.25">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x14ac:dyDescent="0.25">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x14ac:dyDescent="0.25">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x14ac:dyDescent="0.25">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x14ac:dyDescent="0.25">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x14ac:dyDescent="0.25">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x14ac:dyDescent="0.25">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x14ac:dyDescent="0.25">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x14ac:dyDescent="0.25">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x14ac:dyDescent="0.25">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x14ac:dyDescent="0.25">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x14ac:dyDescent="0.25">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x14ac:dyDescent="0.25">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x14ac:dyDescent="0.25">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x14ac:dyDescent="0.25">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x14ac:dyDescent="0.25">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x14ac:dyDescent="0.25">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x14ac:dyDescent="0.25">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x14ac:dyDescent="0.25">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x14ac:dyDescent="0.25">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x14ac:dyDescent="0.25">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x14ac:dyDescent="0.25">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x14ac:dyDescent="0.25">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x14ac:dyDescent="0.25">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x14ac:dyDescent="0.25">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x14ac:dyDescent="0.25">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x14ac:dyDescent="0.25">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x14ac:dyDescent="0.25">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x14ac:dyDescent="0.25">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x14ac:dyDescent="0.25">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x14ac:dyDescent="0.25">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x14ac:dyDescent="0.25">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x14ac:dyDescent="0.25">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x14ac:dyDescent="0.25">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x14ac:dyDescent="0.25">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x14ac:dyDescent="0.25">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x14ac:dyDescent="0.25">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x14ac:dyDescent="0.25">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x14ac:dyDescent="0.25">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x14ac:dyDescent="0.25">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x14ac:dyDescent="0.25">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x14ac:dyDescent="0.25">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x14ac:dyDescent="0.25">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x14ac:dyDescent="0.25">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x14ac:dyDescent="0.25">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x14ac:dyDescent="0.25">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x14ac:dyDescent="0.25">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x14ac:dyDescent="0.25">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x14ac:dyDescent="0.25">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x14ac:dyDescent="0.25">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x14ac:dyDescent="0.25">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x14ac:dyDescent="0.25">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x14ac:dyDescent="0.25">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x14ac:dyDescent="0.25">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x14ac:dyDescent="0.25">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x14ac:dyDescent="0.25">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x14ac:dyDescent="0.25">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x14ac:dyDescent="0.25">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x14ac:dyDescent="0.25">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x14ac:dyDescent="0.25">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x14ac:dyDescent="0.25">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x14ac:dyDescent="0.25">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x14ac:dyDescent="0.25">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x14ac:dyDescent="0.25">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x14ac:dyDescent="0.25">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x14ac:dyDescent="0.25">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x14ac:dyDescent="0.25">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x14ac:dyDescent="0.25">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x14ac:dyDescent="0.25">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x14ac:dyDescent="0.25">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x14ac:dyDescent="0.25">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x14ac:dyDescent="0.25">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x14ac:dyDescent="0.25">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x14ac:dyDescent="0.25">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x14ac:dyDescent="0.25">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x14ac:dyDescent="0.25">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x14ac:dyDescent="0.25">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x14ac:dyDescent="0.25">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x14ac:dyDescent="0.25">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x14ac:dyDescent="0.25">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x14ac:dyDescent="0.25">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x14ac:dyDescent="0.25">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x14ac:dyDescent="0.25">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x14ac:dyDescent="0.25">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x14ac:dyDescent="0.25">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x14ac:dyDescent="0.25">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x14ac:dyDescent="0.25">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x14ac:dyDescent="0.25">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x14ac:dyDescent="0.25">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x14ac:dyDescent="0.25">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x14ac:dyDescent="0.25">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x14ac:dyDescent="0.25">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x14ac:dyDescent="0.25">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x14ac:dyDescent="0.25">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x14ac:dyDescent="0.25">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x14ac:dyDescent="0.25">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x14ac:dyDescent="0.25">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x14ac:dyDescent="0.25">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x14ac:dyDescent="0.25">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x14ac:dyDescent="0.25">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x14ac:dyDescent="0.25">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x14ac:dyDescent="0.25">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x14ac:dyDescent="0.25">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x14ac:dyDescent="0.25">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x14ac:dyDescent="0.25">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x14ac:dyDescent="0.25">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x14ac:dyDescent="0.25">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x14ac:dyDescent="0.25">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x14ac:dyDescent="0.25">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x14ac:dyDescent="0.25">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x14ac:dyDescent="0.25">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x14ac:dyDescent="0.25">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x14ac:dyDescent="0.25">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x14ac:dyDescent="0.25">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x14ac:dyDescent="0.25">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x14ac:dyDescent="0.25">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x14ac:dyDescent="0.25">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x14ac:dyDescent="0.25">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x14ac:dyDescent="0.25">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x14ac:dyDescent="0.25">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x14ac:dyDescent="0.25">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x14ac:dyDescent="0.25">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x14ac:dyDescent="0.25">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x14ac:dyDescent="0.25">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x14ac:dyDescent="0.25">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x14ac:dyDescent="0.25">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x14ac:dyDescent="0.25">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x14ac:dyDescent="0.25">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x14ac:dyDescent="0.25">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x14ac:dyDescent="0.25">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x14ac:dyDescent="0.25">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x14ac:dyDescent="0.25">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x14ac:dyDescent="0.25">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x14ac:dyDescent="0.25">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x14ac:dyDescent="0.25">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x14ac:dyDescent="0.25">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x14ac:dyDescent="0.25">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x14ac:dyDescent="0.25">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x14ac:dyDescent="0.25">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x14ac:dyDescent="0.25">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x14ac:dyDescent="0.25">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x14ac:dyDescent="0.25">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x14ac:dyDescent="0.25">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x14ac:dyDescent="0.25">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x14ac:dyDescent="0.25">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x14ac:dyDescent="0.25">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x14ac:dyDescent="0.25">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x14ac:dyDescent="0.25">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x14ac:dyDescent="0.25">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x14ac:dyDescent="0.25">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x14ac:dyDescent="0.25">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x14ac:dyDescent="0.25">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x14ac:dyDescent="0.25">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x14ac:dyDescent="0.25">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x14ac:dyDescent="0.25">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x14ac:dyDescent="0.25">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x14ac:dyDescent="0.25">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x14ac:dyDescent="0.25">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x14ac:dyDescent="0.25">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x14ac:dyDescent="0.25">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x14ac:dyDescent="0.25">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x14ac:dyDescent="0.25">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x14ac:dyDescent="0.25">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x14ac:dyDescent="0.25">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x14ac:dyDescent="0.25">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x14ac:dyDescent="0.25">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x14ac:dyDescent="0.25">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x14ac:dyDescent="0.25">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x14ac:dyDescent="0.25">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x14ac:dyDescent="0.25">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x14ac:dyDescent="0.25">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x14ac:dyDescent="0.25">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x14ac:dyDescent="0.25">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x14ac:dyDescent="0.25">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x14ac:dyDescent="0.25">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x14ac:dyDescent="0.25">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x14ac:dyDescent="0.25">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x14ac:dyDescent="0.25">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x14ac:dyDescent="0.25">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x14ac:dyDescent="0.25">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x14ac:dyDescent="0.25">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x14ac:dyDescent="0.25">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x14ac:dyDescent="0.25">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x14ac:dyDescent="0.25">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x14ac:dyDescent="0.25">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x14ac:dyDescent="0.25">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x14ac:dyDescent="0.25">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x14ac:dyDescent="0.25">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x14ac:dyDescent="0.25">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x14ac:dyDescent="0.25">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x14ac:dyDescent="0.25">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x14ac:dyDescent="0.25">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x14ac:dyDescent="0.25">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x14ac:dyDescent="0.25">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x14ac:dyDescent="0.25">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x14ac:dyDescent="0.25">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x14ac:dyDescent="0.25">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x14ac:dyDescent="0.25">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x14ac:dyDescent="0.25">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x14ac:dyDescent="0.25">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x14ac:dyDescent="0.25">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x14ac:dyDescent="0.25">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x14ac:dyDescent="0.25">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x14ac:dyDescent="0.25">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x14ac:dyDescent="0.25">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x14ac:dyDescent="0.25">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x14ac:dyDescent="0.25">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x14ac:dyDescent="0.25">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x14ac:dyDescent="0.25">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x14ac:dyDescent="0.25">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x14ac:dyDescent="0.25">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x14ac:dyDescent="0.25">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x14ac:dyDescent="0.25">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x14ac:dyDescent="0.25">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x14ac:dyDescent="0.25">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x14ac:dyDescent="0.25">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x14ac:dyDescent="0.25">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x14ac:dyDescent="0.25">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x14ac:dyDescent="0.25">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x14ac:dyDescent="0.25">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x14ac:dyDescent="0.25">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x14ac:dyDescent="0.25">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x14ac:dyDescent="0.25">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x14ac:dyDescent="0.25">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x14ac:dyDescent="0.25">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x14ac:dyDescent="0.25">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x14ac:dyDescent="0.25">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x14ac:dyDescent="0.25">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x14ac:dyDescent="0.25">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x14ac:dyDescent="0.25">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x14ac:dyDescent="0.25">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x14ac:dyDescent="0.25">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x14ac:dyDescent="0.25">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x14ac:dyDescent="0.25">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x14ac:dyDescent="0.25">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x14ac:dyDescent="0.25">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x14ac:dyDescent="0.25">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x14ac:dyDescent="0.25">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x14ac:dyDescent="0.25">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x14ac:dyDescent="0.25">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x14ac:dyDescent="0.25">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x14ac:dyDescent="0.25">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x14ac:dyDescent="0.25">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x14ac:dyDescent="0.25">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x14ac:dyDescent="0.25">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x14ac:dyDescent="0.25">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x14ac:dyDescent="0.25">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x14ac:dyDescent="0.25">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x14ac:dyDescent="0.25">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x14ac:dyDescent="0.25">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x14ac:dyDescent="0.25">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x14ac:dyDescent="0.25">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x14ac:dyDescent="0.25">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x14ac:dyDescent="0.25">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x14ac:dyDescent="0.25">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x14ac:dyDescent="0.25">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x14ac:dyDescent="0.25">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x14ac:dyDescent="0.25">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x14ac:dyDescent="0.25">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x14ac:dyDescent="0.25">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x14ac:dyDescent="0.25">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x14ac:dyDescent="0.25">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x14ac:dyDescent="0.25">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x14ac:dyDescent="0.25">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x14ac:dyDescent="0.25">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x14ac:dyDescent="0.25">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x14ac:dyDescent="0.25">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x14ac:dyDescent="0.25">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x14ac:dyDescent="0.25">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x14ac:dyDescent="0.25">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x14ac:dyDescent="0.25">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x14ac:dyDescent="0.25">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x14ac:dyDescent="0.25">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x14ac:dyDescent="0.25">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x14ac:dyDescent="0.25">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x14ac:dyDescent="0.25">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x14ac:dyDescent="0.25">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x14ac:dyDescent="0.25">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x14ac:dyDescent="0.25">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x14ac:dyDescent="0.25">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x14ac:dyDescent="0.25">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x14ac:dyDescent="0.25">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x14ac:dyDescent="0.25">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x14ac:dyDescent="0.25">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x14ac:dyDescent="0.25">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x14ac:dyDescent="0.25">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x14ac:dyDescent="0.25">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x14ac:dyDescent="0.25">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x14ac:dyDescent="0.25">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x14ac:dyDescent="0.25">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x14ac:dyDescent="0.25">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x14ac:dyDescent="0.25">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x14ac:dyDescent="0.25">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x14ac:dyDescent="0.25">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x14ac:dyDescent="0.25">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x14ac:dyDescent="0.25">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x14ac:dyDescent="0.25">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x14ac:dyDescent="0.25">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x14ac:dyDescent="0.25">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x14ac:dyDescent="0.25">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x14ac:dyDescent="0.25">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x14ac:dyDescent="0.25">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x14ac:dyDescent="0.25">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x14ac:dyDescent="0.25">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x14ac:dyDescent="0.25">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x14ac:dyDescent="0.25">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x14ac:dyDescent="0.25">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x14ac:dyDescent="0.25">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x14ac:dyDescent="0.25">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x14ac:dyDescent="0.25">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x14ac:dyDescent="0.25">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x14ac:dyDescent="0.25">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x14ac:dyDescent="0.25">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x14ac:dyDescent="0.25">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x14ac:dyDescent="0.25">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x14ac:dyDescent="0.25">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x14ac:dyDescent="0.25">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x14ac:dyDescent="0.25">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x14ac:dyDescent="0.25">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x14ac:dyDescent="0.25">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x14ac:dyDescent="0.25">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x14ac:dyDescent="0.25">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x14ac:dyDescent="0.25">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x14ac:dyDescent="0.25">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x14ac:dyDescent="0.25">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x14ac:dyDescent="0.25">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x14ac:dyDescent="0.25">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x14ac:dyDescent="0.25">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x14ac:dyDescent="0.25">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x14ac:dyDescent="0.25">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x14ac:dyDescent="0.25">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x14ac:dyDescent="0.25">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x14ac:dyDescent="0.25">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x14ac:dyDescent="0.25">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x14ac:dyDescent="0.25">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x14ac:dyDescent="0.25">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x14ac:dyDescent="0.25">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x14ac:dyDescent="0.25">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x14ac:dyDescent="0.25">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x14ac:dyDescent="0.25">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x14ac:dyDescent="0.25">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x14ac:dyDescent="0.25">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x14ac:dyDescent="0.25">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x14ac:dyDescent="0.25">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x14ac:dyDescent="0.25">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x14ac:dyDescent="0.25">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x14ac:dyDescent="0.25">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x14ac:dyDescent="0.25">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x14ac:dyDescent="0.25">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x14ac:dyDescent="0.25">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x14ac:dyDescent="0.25">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x14ac:dyDescent="0.25">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x14ac:dyDescent="0.25">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x14ac:dyDescent="0.25">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x14ac:dyDescent="0.25">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x14ac:dyDescent="0.25">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x14ac:dyDescent="0.25">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x14ac:dyDescent="0.25">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x14ac:dyDescent="0.25">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x14ac:dyDescent="0.25">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x14ac:dyDescent="0.25">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x14ac:dyDescent="0.25">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x14ac:dyDescent="0.25">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x14ac:dyDescent="0.25">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x14ac:dyDescent="0.25">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x14ac:dyDescent="0.25">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x14ac:dyDescent="0.25">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x14ac:dyDescent="0.25">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x14ac:dyDescent="0.25">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x14ac:dyDescent="0.25">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x14ac:dyDescent="0.25">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x14ac:dyDescent="0.25">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x14ac:dyDescent="0.25">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x14ac:dyDescent="0.25">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x14ac:dyDescent="0.25">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x14ac:dyDescent="0.25">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x14ac:dyDescent="0.25">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x14ac:dyDescent="0.25">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x14ac:dyDescent="0.25">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x14ac:dyDescent="0.25">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x14ac:dyDescent="0.25">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x14ac:dyDescent="0.25">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x14ac:dyDescent="0.25">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x14ac:dyDescent="0.25">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x14ac:dyDescent="0.25">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x14ac:dyDescent="0.25">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x14ac:dyDescent="0.25">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x14ac:dyDescent="0.25">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x14ac:dyDescent="0.25">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x14ac:dyDescent="0.25">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x14ac:dyDescent="0.25">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x14ac:dyDescent="0.25">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x14ac:dyDescent="0.25">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x14ac:dyDescent="0.25">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x14ac:dyDescent="0.25">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x14ac:dyDescent="0.25">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x14ac:dyDescent="0.25">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x14ac:dyDescent="0.25">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x14ac:dyDescent="0.25">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x14ac:dyDescent="0.25">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x14ac:dyDescent="0.25">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x14ac:dyDescent="0.25">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x14ac:dyDescent="0.25">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x14ac:dyDescent="0.25">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x14ac:dyDescent="0.25">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x14ac:dyDescent="0.25">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x14ac:dyDescent="0.25">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x14ac:dyDescent="0.25">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x14ac:dyDescent="0.25">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x14ac:dyDescent="0.25">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x14ac:dyDescent="0.25">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x14ac:dyDescent="0.25">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x14ac:dyDescent="0.25">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x14ac:dyDescent="0.25">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x14ac:dyDescent="0.25">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x14ac:dyDescent="0.25">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x14ac:dyDescent="0.25">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x14ac:dyDescent="0.25">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x14ac:dyDescent="0.25">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x14ac:dyDescent="0.25">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x14ac:dyDescent="0.25">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x14ac:dyDescent="0.25">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x14ac:dyDescent="0.25">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x14ac:dyDescent="0.25">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x14ac:dyDescent="0.25">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x14ac:dyDescent="0.25">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x14ac:dyDescent="0.25">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x14ac:dyDescent="0.25">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x14ac:dyDescent="0.25">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x14ac:dyDescent="0.25">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x14ac:dyDescent="0.25">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x14ac:dyDescent="0.25">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x14ac:dyDescent="0.25">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x14ac:dyDescent="0.25">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x14ac:dyDescent="0.25">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x14ac:dyDescent="0.25">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x14ac:dyDescent="0.25">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x14ac:dyDescent="0.25">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x14ac:dyDescent="0.25">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x14ac:dyDescent="0.25">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x14ac:dyDescent="0.25">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x14ac:dyDescent="0.25">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x14ac:dyDescent="0.25">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x14ac:dyDescent="0.25">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x14ac:dyDescent="0.25">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x14ac:dyDescent="0.25">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x14ac:dyDescent="0.25">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x14ac:dyDescent="0.25">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x14ac:dyDescent="0.25">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x14ac:dyDescent="0.25">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x14ac:dyDescent="0.25">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x14ac:dyDescent="0.25">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x14ac:dyDescent="0.25">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x14ac:dyDescent="0.25">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x14ac:dyDescent="0.25">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x14ac:dyDescent="0.25">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x14ac:dyDescent="0.25">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x14ac:dyDescent="0.25">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x14ac:dyDescent="0.25">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x14ac:dyDescent="0.25">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x14ac:dyDescent="0.25">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x14ac:dyDescent="0.25">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x14ac:dyDescent="0.25">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x14ac:dyDescent="0.25">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x14ac:dyDescent="0.25">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x14ac:dyDescent="0.25">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x14ac:dyDescent="0.25">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x14ac:dyDescent="0.25">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x14ac:dyDescent="0.25">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x14ac:dyDescent="0.25">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x14ac:dyDescent="0.25">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x14ac:dyDescent="0.25">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x14ac:dyDescent="0.25">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x14ac:dyDescent="0.25">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x14ac:dyDescent="0.25">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x14ac:dyDescent="0.25">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x14ac:dyDescent="0.25">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x14ac:dyDescent="0.25">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x14ac:dyDescent="0.25">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x14ac:dyDescent="0.25">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x14ac:dyDescent="0.25">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x14ac:dyDescent="0.25">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x14ac:dyDescent="0.25">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x14ac:dyDescent="0.25">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x14ac:dyDescent="0.25">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x14ac:dyDescent="0.25">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x14ac:dyDescent="0.25">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x14ac:dyDescent="0.25">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x14ac:dyDescent="0.25">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x14ac:dyDescent="0.25">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x14ac:dyDescent="0.25">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x14ac:dyDescent="0.25">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x14ac:dyDescent="0.25">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x14ac:dyDescent="0.25">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x14ac:dyDescent="0.25">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x14ac:dyDescent="0.25">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x14ac:dyDescent="0.25">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x14ac:dyDescent="0.25">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x14ac:dyDescent="0.25">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x14ac:dyDescent="0.25">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x14ac:dyDescent="0.25">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x14ac:dyDescent="0.25">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x14ac:dyDescent="0.25">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x14ac:dyDescent="0.25">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x14ac:dyDescent="0.25">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x14ac:dyDescent="0.25">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x14ac:dyDescent="0.25">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x14ac:dyDescent="0.25">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x14ac:dyDescent="0.25">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x14ac:dyDescent="0.25">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x14ac:dyDescent="0.25">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x14ac:dyDescent="0.25">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x14ac:dyDescent="0.25">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x14ac:dyDescent="0.25">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x14ac:dyDescent="0.25">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x14ac:dyDescent="0.25">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x14ac:dyDescent="0.25">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x14ac:dyDescent="0.25">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x14ac:dyDescent="0.25">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x14ac:dyDescent="0.25">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x14ac:dyDescent="0.25">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x14ac:dyDescent="0.25">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x14ac:dyDescent="0.25">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x14ac:dyDescent="0.25">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x14ac:dyDescent="0.25">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x14ac:dyDescent="0.25">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x14ac:dyDescent="0.25">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x14ac:dyDescent="0.25">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x14ac:dyDescent="0.25">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x14ac:dyDescent="0.25">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x14ac:dyDescent="0.25">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x14ac:dyDescent="0.25">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x14ac:dyDescent="0.25">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x14ac:dyDescent="0.25">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x14ac:dyDescent="0.25">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x14ac:dyDescent="0.25">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x14ac:dyDescent="0.25">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x14ac:dyDescent="0.25">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x14ac:dyDescent="0.25">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x14ac:dyDescent="0.25">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x14ac:dyDescent="0.25">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x14ac:dyDescent="0.25">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x14ac:dyDescent="0.25">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x14ac:dyDescent="0.25">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x14ac:dyDescent="0.25">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x14ac:dyDescent="0.25">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x14ac:dyDescent="0.25">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x14ac:dyDescent="0.25">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x14ac:dyDescent="0.25">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x14ac:dyDescent="0.25">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x14ac:dyDescent="0.25">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x14ac:dyDescent="0.25">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x14ac:dyDescent="0.25">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x14ac:dyDescent="0.25">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x14ac:dyDescent="0.25">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x14ac:dyDescent="0.25">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x14ac:dyDescent="0.25">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x14ac:dyDescent="0.25">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x14ac:dyDescent="0.25">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x14ac:dyDescent="0.25">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x14ac:dyDescent="0.25">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x14ac:dyDescent="0.25">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x14ac:dyDescent="0.25">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x14ac:dyDescent="0.25">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x14ac:dyDescent="0.25">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x14ac:dyDescent="0.25">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x14ac:dyDescent="0.25">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x14ac:dyDescent="0.25">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x14ac:dyDescent="0.25">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x14ac:dyDescent="0.25">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x14ac:dyDescent="0.25">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x14ac:dyDescent="0.25">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x14ac:dyDescent="0.25">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x14ac:dyDescent="0.25">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x14ac:dyDescent="0.25">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x14ac:dyDescent="0.25">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x14ac:dyDescent="0.25">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x14ac:dyDescent="0.25">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x14ac:dyDescent="0.25">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x14ac:dyDescent="0.25">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x14ac:dyDescent="0.25">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x14ac:dyDescent="0.25">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x14ac:dyDescent="0.25">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x14ac:dyDescent="0.25">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x14ac:dyDescent="0.25">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x14ac:dyDescent="0.25">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x14ac:dyDescent="0.25">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x14ac:dyDescent="0.25">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x14ac:dyDescent="0.25">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x14ac:dyDescent="0.25">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x14ac:dyDescent="0.25">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x14ac:dyDescent="0.25">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x14ac:dyDescent="0.25">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x14ac:dyDescent="0.25">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x14ac:dyDescent="0.25">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x14ac:dyDescent="0.25">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x14ac:dyDescent="0.25">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x14ac:dyDescent="0.25">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x14ac:dyDescent="0.25">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x14ac:dyDescent="0.25">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x14ac:dyDescent="0.25">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x14ac:dyDescent="0.25">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x14ac:dyDescent="0.25">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x14ac:dyDescent="0.25">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x14ac:dyDescent="0.25">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x14ac:dyDescent="0.25">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x14ac:dyDescent="0.25">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x14ac:dyDescent="0.25">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x14ac:dyDescent="0.25">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x14ac:dyDescent="0.25">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x14ac:dyDescent="0.25">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x14ac:dyDescent="0.25">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x14ac:dyDescent="0.25">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x14ac:dyDescent="0.25">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x14ac:dyDescent="0.25">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x14ac:dyDescent="0.25">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x14ac:dyDescent="0.25">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x14ac:dyDescent="0.25">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x14ac:dyDescent="0.25">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x14ac:dyDescent="0.25">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x14ac:dyDescent="0.25">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x14ac:dyDescent="0.25">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x14ac:dyDescent="0.25">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x14ac:dyDescent="0.25">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x14ac:dyDescent="0.25">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x14ac:dyDescent="0.25">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x14ac:dyDescent="0.25">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x14ac:dyDescent="0.25">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x14ac:dyDescent="0.25">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x14ac:dyDescent="0.25">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x14ac:dyDescent="0.25">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x14ac:dyDescent="0.25">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x14ac:dyDescent="0.25">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x14ac:dyDescent="0.25">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x14ac:dyDescent="0.25">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x14ac:dyDescent="0.25">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x14ac:dyDescent="0.25">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x14ac:dyDescent="0.25">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x14ac:dyDescent="0.25">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x14ac:dyDescent="0.25">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x14ac:dyDescent="0.25">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x14ac:dyDescent="0.25">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x14ac:dyDescent="0.25">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x14ac:dyDescent="0.25">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x14ac:dyDescent="0.25">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x14ac:dyDescent="0.25">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x14ac:dyDescent="0.25">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x14ac:dyDescent="0.25">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x14ac:dyDescent="0.25">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x14ac:dyDescent="0.25">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x14ac:dyDescent="0.25">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x14ac:dyDescent="0.25">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x14ac:dyDescent="0.25">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x14ac:dyDescent="0.25">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x14ac:dyDescent="0.25">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x14ac:dyDescent="0.25">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x14ac:dyDescent="0.25">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x14ac:dyDescent="0.25">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x14ac:dyDescent="0.25">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x14ac:dyDescent="0.25">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x14ac:dyDescent="0.25">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x14ac:dyDescent="0.25">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x14ac:dyDescent="0.25">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x14ac:dyDescent="0.25">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x14ac:dyDescent="0.25">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x14ac:dyDescent="0.25">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x14ac:dyDescent="0.25">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x14ac:dyDescent="0.25">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x14ac:dyDescent="0.25">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x14ac:dyDescent="0.25">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x14ac:dyDescent="0.25">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x14ac:dyDescent="0.25">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x14ac:dyDescent="0.25">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x14ac:dyDescent="0.25">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x14ac:dyDescent="0.25">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x14ac:dyDescent="0.25">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x14ac:dyDescent="0.25">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x14ac:dyDescent="0.25">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x14ac:dyDescent="0.25">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x14ac:dyDescent="0.25">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x14ac:dyDescent="0.25">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x14ac:dyDescent="0.25">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x14ac:dyDescent="0.25">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x14ac:dyDescent="0.25">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x14ac:dyDescent="0.25">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x14ac:dyDescent="0.25">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x14ac:dyDescent="0.25">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x14ac:dyDescent="0.25">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x14ac:dyDescent="0.25">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x14ac:dyDescent="0.25">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x14ac:dyDescent="0.25">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x14ac:dyDescent="0.25">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x14ac:dyDescent="0.25">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x14ac:dyDescent="0.25">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x14ac:dyDescent="0.25">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x14ac:dyDescent="0.25">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x14ac:dyDescent="0.25">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x14ac:dyDescent="0.25">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x14ac:dyDescent="0.25">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x14ac:dyDescent="0.25">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x14ac:dyDescent="0.25">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x14ac:dyDescent="0.25">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x14ac:dyDescent="0.25">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x14ac:dyDescent="0.25">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x14ac:dyDescent="0.25">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x14ac:dyDescent="0.25">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x14ac:dyDescent="0.25">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x14ac:dyDescent="0.25">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x14ac:dyDescent="0.25">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x14ac:dyDescent="0.25">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x14ac:dyDescent="0.25">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x14ac:dyDescent="0.25">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x14ac:dyDescent="0.25">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x14ac:dyDescent="0.25">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x14ac:dyDescent="0.25">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x14ac:dyDescent="0.25">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x14ac:dyDescent="0.25">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x14ac:dyDescent="0.25">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x14ac:dyDescent="0.25">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x14ac:dyDescent="0.25">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x14ac:dyDescent="0.25">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x14ac:dyDescent="0.25">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x14ac:dyDescent="0.25">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x14ac:dyDescent="0.25">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x14ac:dyDescent="0.25">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x14ac:dyDescent="0.25">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x14ac:dyDescent="0.25">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x14ac:dyDescent="0.25">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x14ac:dyDescent="0.25">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x14ac:dyDescent="0.25">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x14ac:dyDescent="0.25">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x14ac:dyDescent="0.25">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x14ac:dyDescent="0.25">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x14ac:dyDescent="0.25">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x14ac:dyDescent="0.25">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x14ac:dyDescent="0.25">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x14ac:dyDescent="0.25">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x14ac:dyDescent="0.25">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x14ac:dyDescent="0.25">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x14ac:dyDescent="0.25">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x14ac:dyDescent="0.25">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x14ac:dyDescent="0.25">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x14ac:dyDescent="0.25">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x14ac:dyDescent="0.25">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x14ac:dyDescent="0.25">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x14ac:dyDescent="0.25">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x14ac:dyDescent="0.25">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x14ac:dyDescent="0.25">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x14ac:dyDescent="0.25">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x14ac:dyDescent="0.25">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x14ac:dyDescent="0.25">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x14ac:dyDescent="0.25">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x14ac:dyDescent="0.25">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x14ac:dyDescent="0.25">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x14ac:dyDescent="0.25">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x14ac:dyDescent="0.25">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x14ac:dyDescent="0.25">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x14ac:dyDescent="0.25">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x14ac:dyDescent="0.25">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x14ac:dyDescent="0.25">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x14ac:dyDescent="0.25">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x14ac:dyDescent="0.25">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x14ac:dyDescent="0.25">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x14ac:dyDescent="0.25">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x14ac:dyDescent="0.25">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x14ac:dyDescent="0.25">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x14ac:dyDescent="0.25">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x14ac:dyDescent="0.25">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x14ac:dyDescent="0.25">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x14ac:dyDescent="0.25">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x14ac:dyDescent="0.25">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x14ac:dyDescent="0.25">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x14ac:dyDescent="0.25">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x14ac:dyDescent="0.25">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x14ac:dyDescent="0.25">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x14ac:dyDescent="0.25">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x14ac:dyDescent="0.25">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x14ac:dyDescent="0.25">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x14ac:dyDescent="0.25">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x14ac:dyDescent="0.25">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x14ac:dyDescent="0.25">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x14ac:dyDescent="0.25">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x14ac:dyDescent="0.25">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x14ac:dyDescent="0.25">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x14ac:dyDescent="0.25">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x14ac:dyDescent="0.25">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x14ac:dyDescent="0.25">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x14ac:dyDescent="0.25">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x14ac:dyDescent="0.25">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x14ac:dyDescent="0.25">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x14ac:dyDescent="0.25">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x14ac:dyDescent="0.25">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x14ac:dyDescent="0.25">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x14ac:dyDescent="0.25">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x14ac:dyDescent="0.25">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x14ac:dyDescent="0.25">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x14ac:dyDescent="0.25">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x14ac:dyDescent="0.25">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x14ac:dyDescent="0.25">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x14ac:dyDescent="0.25">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x14ac:dyDescent="0.25">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x14ac:dyDescent="0.25">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x14ac:dyDescent="0.25">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x14ac:dyDescent="0.25">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x14ac:dyDescent="0.25">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x14ac:dyDescent="0.25">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x14ac:dyDescent="0.25">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x14ac:dyDescent="0.25">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x14ac:dyDescent="0.25">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x14ac:dyDescent="0.25">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x14ac:dyDescent="0.25">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x14ac:dyDescent="0.25">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x14ac:dyDescent="0.25">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x14ac:dyDescent="0.25">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x14ac:dyDescent="0.25">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x14ac:dyDescent="0.25">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x14ac:dyDescent="0.25">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x14ac:dyDescent="0.25">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x14ac:dyDescent="0.25">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x14ac:dyDescent="0.25">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x14ac:dyDescent="0.25">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x14ac:dyDescent="0.25">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x14ac:dyDescent="0.25">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x14ac:dyDescent="0.25">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x14ac:dyDescent="0.25">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x14ac:dyDescent="0.25">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x14ac:dyDescent="0.25">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x14ac:dyDescent="0.25">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x14ac:dyDescent="0.25">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x14ac:dyDescent="0.25">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x14ac:dyDescent="0.25">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x14ac:dyDescent="0.25">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x14ac:dyDescent="0.25">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x14ac:dyDescent="0.25">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x14ac:dyDescent="0.25">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x14ac:dyDescent="0.25">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x14ac:dyDescent="0.25">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x14ac:dyDescent="0.25">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x14ac:dyDescent="0.25">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x14ac:dyDescent="0.25">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x14ac:dyDescent="0.25">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x14ac:dyDescent="0.25">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x14ac:dyDescent="0.25">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x14ac:dyDescent="0.25">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x14ac:dyDescent="0.25">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x14ac:dyDescent="0.25">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x14ac:dyDescent="0.25">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x14ac:dyDescent="0.25">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x14ac:dyDescent="0.25">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x14ac:dyDescent="0.25">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x14ac:dyDescent="0.25">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x14ac:dyDescent="0.25">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x14ac:dyDescent="0.25">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x14ac:dyDescent="0.25">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x14ac:dyDescent="0.25">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x14ac:dyDescent="0.25">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x14ac:dyDescent="0.25">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x14ac:dyDescent="0.25">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x14ac:dyDescent="0.25">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x14ac:dyDescent="0.25">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x14ac:dyDescent="0.25">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x14ac:dyDescent="0.25">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x14ac:dyDescent="0.25">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x14ac:dyDescent="0.25">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x14ac:dyDescent="0.25">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x14ac:dyDescent="0.25">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x14ac:dyDescent="0.25">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x14ac:dyDescent="0.25">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x14ac:dyDescent="0.25">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x14ac:dyDescent="0.25">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x14ac:dyDescent="0.25">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x14ac:dyDescent="0.25">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x14ac:dyDescent="0.25">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x14ac:dyDescent="0.25">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x14ac:dyDescent="0.25">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x14ac:dyDescent="0.25">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x14ac:dyDescent="0.25">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x14ac:dyDescent="0.25">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x14ac:dyDescent="0.25">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x14ac:dyDescent="0.25">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x14ac:dyDescent="0.25">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x14ac:dyDescent="0.25">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x14ac:dyDescent="0.25">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x14ac:dyDescent="0.25">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x14ac:dyDescent="0.25">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x14ac:dyDescent="0.25">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x14ac:dyDescent="0.25">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x14ac:dyDescent="0.25">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x14ac:dyDescent="0.25">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x14ac:dyDescent="0.25">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x14ac:dyDescent="0.25">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x14ac:dyDescent="0.25">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x14ac:dyDescent="0.25">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x14ac:dyDescent="0.25">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x14ac:dyDescent="0.25">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x14ac:dyDescent="0.25">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x14ac:dyDescent="0.25">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x14ac:dyDescent="0.25">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x14ac:dyDescent="0.25">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x14ac:dyDescent="0.25">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x14ac:dyDescent="0.25">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x14ac:dyDescent="0.25">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x14ac:dyDescent="0.25">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x14ac:dyDescent="0.25">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x14ac:dyDescent="0.25">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x14ac:dyDescent="0.25">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x14ac:dyDescent="0.25">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x14ac:dyDescent="0.25">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x14ac:dyDescent="0.25">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x14ac:dyDescent="0.25">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x14ac:dyDescent="0.25">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x14ac:dyDescent="0.25">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x14ac:dyDescent="0.25">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x14ac:dyDescent="0.25">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x14ac:dyDescent="0.25">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x14ac:dyDescent="0.25">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x14ac:dyDescent="0.25">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x14ac:dyDescent="0.25">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x14ac:dyDescent="0.25">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x14ac:dyDescent="0.25">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x14ac:dyDescent="0.25">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x14ac:dyDescent="0.25">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x14ac:dyDescent="0.25">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x14ac:dyDescent="0.25">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x14ac:dyDescent="0.25">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x14ac:dyDescent="0.25">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x14ac:dyDescent="0.25">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x14ac:dyDescent="0.25">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x14ac:dyDescent="0.25">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x14ac:dyDescent="0.25">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x14ac:dyDescent="0.25">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x14ac:dyDescent="0.25">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x14ac:dyDescent="0.25">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x14ac:dyDescent="0.25">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x14ac:dyDescent="0.25">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x14ac:dyDescent="0.25">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x14ac:dyDescent="0.25">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x14ac:dyDescent="0.25">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x14ac:dyDescent="0.25">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x14ac:dyDescent="0.25">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x14ac:dyDescent="0.25">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x14ac:dyDescent="0.25">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x14ac:dyDescent="0.25">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x14ac:dyDescent="0.25">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x14ac:dyDescent="0.25">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x14ac:dyDescent="0.25">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x14ac:dyDescent="0.25">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x14ac:dyDescent="0.25">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x14ac:dyDescent="0.25">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x14ac:dyDescent="0.25">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x14ac:dyDescent="0.25">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x14ac:dyDescent="0.25">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x14ac:dyDescent="0.25">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x14ac:dyDescent="0.25">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x14ac:dyDescent="0.25">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x14ac:dyDescent="0.25">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x14ac:dyDescent="0.25">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x14ac:dyDescent="0.25">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x14ac:dyDescent="0.25">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x14ac:dyDescent="0.25">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x14ac:dyDescent="0.25">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x14ac:dyDescent="0.25">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x14ac:dyDescent="0.25">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x14ac:dyDescent="0.25">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x14ac:dyDescent="0.25">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x14ac:dyDescent="0.25">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x14ac:dyDescent="0.25">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x14ac:dyDescent="0.25">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x14ac:dyDescent="0.25">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x14ac:dyDescent="0.25">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x14ac:dyDescent="0.25">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x14ac:dyDescent="0.25">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x14ac:dyDescent="0.25">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x14ac:dyDescent="0.25">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x14ac:dyDescent="0.25">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x14ac:dyDescent="0.25">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x14ac:dyDescent="0.25">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x14ac:dyDescent="0.25">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x14ac:dyDescent="0.25">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x14ac:dyDescent="0.25">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x14ac:dyDescent="0.25">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x14ac:dyDescent="0.25">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x14ac:dyDescent="0.25">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x14ac:dyDescent="0.25">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x14ac:dyDescent="0.25">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x14ac:dyDescent="0.25">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x14ac:dyDescent="0.25">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x14ac:dyDescent="0.25">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x14ac:dyDescent="0.25">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x14ac:dyDescent="0.25">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x14ac:dyDescent="0.25">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x14ac:dyDescent="0.25">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x14ac:dyDescent="0.25">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x14ac:dyDescent="0.25">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x14ac:dyDescent="0.25">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x14ac:dyDescent="0.25">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x14ac:dyDescent="0.25">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x14ac:dyDescent="0.25">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x14ac:dyDescent="0.25">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x14ac:dyDescent="0.25">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x14ac:dyDescent="0.25">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x14ac:dyDescent="0.25">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x14ac:dyDescent="0.25">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x14ac:dyDescent="0.25">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x14ac:dyDescent="0.25">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x14ac:dyDescent="0.25">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x14ac:dyDescent="0.25">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x14ac:dyDescent="0.25">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x14ac:dyDescent="0.25">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x14ac:dyDescent="0.25">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x14ac:dyDescent="0.25">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x14ac:dyDescent="0.25">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x14ac:dyDescent="0.25">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x14ac:dyDescent="0.25">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x14ac:dyDescent="0.25">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x14ac:dyDescent="0.25">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x14ac:dyDescent="0.25">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x14ac:dyDescent="0.25">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x14ac:dyDescent="0.25">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x14ac:dyDescent="0.25">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x14ac:dyDescent="0.25">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x14ac:dyDescent="0.25">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x14ac:dyDescent="0.25">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x14ac:dyDescent="0.25">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x14ac:dyDescent="0.25">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x14ac:dyDescent="0.25">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x14ac:dyDescent="0.25">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x14ac:dyDescent="0.25">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x14ac:dyDescent="0.25">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x14ac:dyDescent="0.25">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x14ac:dyDescent="0.25">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x14ac:dyDescent="0.25">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x14ac:dyDescent="0.25">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x14ac:dyDescent="0.25">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x14ac:dyDescent="0.25">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x14ac:dyDescent="0.25">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x14ac:dyDescent="0.25">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x14ac:dyDescent="0.25">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x14ac:dyDescent="0.25">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x14ac:dyDescent="0.25">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x14ac:dyDescent="0.25">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x14ac:dyDescent="0.25">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x14ac:dyDescent="0.25">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x14ac:dyDescent="0.25">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x14ac:dyDescent="0.25">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x14ac:dyDescent="0.25">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x14ac:dyDescent="0.25">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x14ac:dyDescent="0.25">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x14ac:dyDescent="0.25">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x14ac:dyDescent="0.25">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x14ac:dyDescent="0.25">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x14ac:dyDescent="0.25">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x14ac:dyDescent="0.25">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x14ac:dyDescent="0.25">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x14ac:dyDescent="0.25">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x14ac:dyDescent="0.25">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x14ac:dyDescent="0.25">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x14ac:dyDescent="0.25">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x14ac:dyDescent="0.25">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x14ac:dyDescent="0.25">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x14ac:dyDescent="0.25">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x14ac:dyDescent="0.25">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x14ac:dyDescent="0.25">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x14ac:dyDescent="0.25">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x14ac:dyDescent="0.25">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x14ac:dyDescent="0.25">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x14ac:dyDescent="0.25">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x14ac:dyDescent="0.25">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x14ac:dyDescent="0.25">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x14ac:dyDescent="0.25">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x14ac:dyDescent="0.25">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x14ac:dyDescent="0.25">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x14ac:dyDescent="0.25">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x14ac:dyDescent="0.25">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x14ac:dyDescent="0.25">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x14ac:dyDescent="0.25">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x14ac:dyDescent="0.25">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x14ac:dyDescent="0.25">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x14ac:dyDescent="0.25">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x14ac:dyDescent="0.25">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x14ac:dyDescent="0.25">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x14ac:dyDescent="0.25">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x14ac:dyDescent="0.25">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x14ac:dyDescent="0.25">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x14ac:dyDescent="0.25">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x14ac:dyDescent="0.25">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x14ac:dyDescent="0.25">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x14ac:dyDescent="0.25">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x14ac:dyDescent="0.25">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x14ac:dyDescent="0.25">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x14ac:dyDescent="0.25">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x14ac:dyDescent="0.25">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x14ac:dyDescent="0.25">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x14ac:dyDescent="0.25">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x14ac:dyDescent="0.25">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x14ac:dyDescent="0.25">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x14ac:dyDescent="0.25">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x14ac:dyDescent="0.25">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x14ac:dyDescent="0.25">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x14ac:dyDescent="0.25">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x14ac:dyDescent="0.25">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x14ac:dyDescent="0.25">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x14ac:dyDescent="0.25">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x14ac:dyDescent="0.25">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x14ac:dyDescent="0.25">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x14ac:dyDescent="0.25">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x14ac:dyDescent="0.25">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x14ac:dyDescent="0.25">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x14ac:dyDescent="0.25">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x14ac:dyDescent="0.25">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x14ac:dyDescent="0.25">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x14ac:dyDescent="0.25">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x14ac:dyDescent="0.25">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x14ac:dyDescent="0.25">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x14ac:dyDescent="0.25">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x14ac:dyDescent="0.25">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x14ac:dyDescent="0.25">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x14ac:dyDescent="0.25">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x14ac:dyDescent="0.25">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x14ac:dyDescent="0.25">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x14ac:dyDescent="0.25">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x14ac:dyDescent="0.25">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x14ac:dyDescent="0.25">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x14ac:dyDescent="0.25">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x14ac:dyDescent="0.25">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x14ac:dyDescent="0.25">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x14ac:dyDescent="0.25">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x14ac:dyDescent="0.25">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x14ac:dyDescent="0.25">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x14ac:dyDescent="0.25">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x14ac:dyDescent="0.25">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x14ac:dyDescent="0.25">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x14ac:dyDescent="0.25">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x14ac:dyDescent="0.25">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x14ac:dyDescent="0.25">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x14ac:dyDescent="0.25">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x14ac:dyDescent="0.25">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x14ac:dyDescent="0.25">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x14ac:dyDescent="0.25">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x14ac:dyDescent="0.25">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x14ac:dyDescent="0.25">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x14ac:dyDescent="0.25">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x14ac:dyDescent="0.25">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x14ac:dyDescent="0.25">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x14ac:dyDescent="0.25">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x14ac:dyDescent="0.25">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x14ac:dyDescent="0.25">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x14ac:dyDescent="0.25">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x14ac:dyDescent="0.25">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x14ac:dyDescent="0.25">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x14ac:dyDescent="0.25">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x14ac:dyDescent="0.25">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x14ac:dyDescent="0.25">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x14ac:dyDescent="0.25">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x14ac:dyDescent="0.25">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x14ac:dyDescent="0.25">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x14ac:dyDescent="0.25">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x14ac:dyDescent="0.25">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x14ac:dyDescent="0.25">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x14ac:dyDescent="0.25">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x14ac:dyDescent="0.25">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x14ac:dyDescent="0.25">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x14ac:dyDescent="0.25">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x14ac:dyDescent="0.25">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x14ac:dyDescent="0.25">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x14ac:dyDescent="0.25">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x14ac:dyDescent="0.25">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x14ac:dyDescent="0.25">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x14ac:dyDescent="0.25">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x14ac:dyDescent="0.25">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x14ac:dyDescent="0.25">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x14ac:dyDescent="0.25">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x14ac:dyDescent="0.25">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x14ac:dyDescent="0.25">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x14ac:dyDescent="0.25">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x14ac:dyDescent="0.25">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x14ac:dyDescent="0.25">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x14ac:dyDescent="0.25">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x14ac:dyDescent="0.25">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row r="1980" spans="16:78" x14ac:dyDescent="0.25">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row>
    <row r="1981" spans="16:78" x14ac:dyDescent="0.25">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row>
    <row r="1982" spans="16:78" x14ac:dyDescent="0.25">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c r="BJ1982" s="12"/>
      <c r="BK1982" s="12"/>
      <c r="BL1982" s="12"/>
      <c r="BM1982" s="12"/>
      <c r="BN1982" s="12"/>
      <c r="BO1982" s="12"/>
      <c r="BP1982" s="12"/>
      <c r="BQ1982" s="12"/>
      <c r="BR1982" s="12"/>
      <c r="BS1982" s="12"/>
      <c r="BT1982" s="12"/>
      <c r="BU1982" s="12"/>
      <c r="BV1982" s="12"/>
      <c r="BW1982" s="12"/>
      <c r="BX1982" s="12"/>
      <c r="BY1982" s="12"/>
      <c r="BZ1982" s="12"/>
    </row>
    <row r="1983" spans="16:78" x14ac:dyDescent="0.25">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c r="BJ1983" s="12"/>
      <c r="BK1983" s="12"/>
      <c r="BL1983" s="12"/>
      <c r="BM1983" s="12"/>
      <c r="BN1983" s="12"/>
      <c r="BO1983" s="12"/>
      <c r="BP1983" s="12"/>
      <c r="BQ1983" s="12"/>
      <c r="BR1983" s="12"/>
      <c r="BS1983" s="12"/>
      <c r="BT1983" s="12"/>
      <c r="BU1983" s="12"/>
      <c r="BV1983" s="12"/>
      <c r="BW1983" s="12"/>
      <c r="BX1983" s="12"/>
      <c r="BY1983" s="12"/>
      <c r="BZ1983" s="12"/>
    </row>
    <row r="1984" spans="16:78" x14ac:dyDescent="0.25">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row>
    <row r="1985" spans="16:78" x14ac:dyDescent="0.25">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c r="BJ1985" s="12"/>
      <c r="BK1985" s="12"/>
      <c r="BL1985" s="12"/>
      <c r="BM1985" s="12"/>
      <c r="BN1985" s="12"/>
      <c r="BO1985" s="12"/>
      <c r="BP1985" s="12"/>
      <c r="BQ1985" s="12"/>
      <c r="BR1985" s="12"/>
      <c r="BS1985" s="12"/>
      <c r="BT1985" s="12"/>
      <c r="BU1985" s="12"/>
      <c r="BV1985" s="12"/>
      <c r="BW1985" s="12"/>
      <c r="BX1985" s="12"/>
      <c r="BY1985" s="12"/>
      <c r="BZ1985" s="12"/>
    </row>
  </sheetData>
  <mergeCells count="9">
    <mergeCell ref="BF5:BK5"/>
    <mergeCell ref="BM5:BR5"/>
    <mergeCell ref="BT5:BY5"/>
    <mergeCell ref="P5:U5"/>
    <mergeCell ref="W5:AB5"/>
    <mergeCell ref="AD5:AI5"/>
    <mergeCell ref="AK5:AP5"/>
    <mergeCell ref="AR5:AW5"/>
    <mergeCell ref="AY5:BD5"/>
  </mergeCells>
  <phoneticPr fontId="28" type="noConversion"/>
  <conditionalFormatting sqref="L1:M25 L27:M1048576">
    <cfRule type="cellIs" dxfId="13" priority="6" operator="equal">
      <formula>"Not Started"</formula>
    </cfRule>
    <cfRule type="cellIs" dxfId="12" priority="7" operator="equal">
      <formula>"In progress"</formula>
    </cfRule>
    <cfRule type="cellIs" dxfId="11" priority="8" operator="equal">
      <formula>"Completed"</formula>
    </cfRule>
  </conditionalFormatting>
  <conditionalFormatting sqref="M1:M25 M27:M1048576">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P5:BZ25 P27:BZ1985">
    <cfRule type="expression" dxfId="10" priority="3">
      <formula>P$6=TODAY()</formula>
    </cfRule>
  </conditionalFormatting>
  <conditionalFormatting sqref="P8:BZ25 P27:BZ49 P52:BZ132">
    <cfRule type="expression" dxfId="9" priority="1">
      <formula>AND(P$6&gt;$I8,P$6&lt;=$J8)</formula>
    </cfRule>
  </conditionalFormatting>
  <conditionalFormatting sqref="P8:BZ25 P27:BZ49 P52:BZ1985">
    <cfRule type="expression" dxfId="8" priority="5">
      <formula>AND(P$6&gt;=$H8,P$6&lt;=$I8)</formula>
    </cfRule>
  </conditionalFormatting>
  <conditionalFormatting sqref="P50:BZ50 P130:BZ130">
    <cfRule type="expression" dxfId="7" priority="9">
      <formula>AND(P$6&gt;=$H51,P$6&lt;=$I51)</formula>
    </cfRule>
  </conditionalFormatting>
  <conditionalFormatting sqref="P131:BZ131">
    <cfRule type="expression" dxfId="6" priority="10">
      <formula>AND(P$6&gt;=#REF!,P$6&lt;=#REF!)</formula>
    </cfRule>
  </conditionalFormatting>
  <conditionalFormatting sqref="P50:BZ50">
    <cfRule type="expression" dxfId="5" priority="21">
      <formula>AND(P$6&gt;$I51,P$6&lt;=$J51)</formula>
    </cfRule>
  </conditionalFormatting>
  <conditionalFormatting sqref="P51:BZ51">
    <cfRule type="expression" dxfId="1" priority="40">
      <formula>AND(P$6&gt;=#REF!,P$6&lt;=#REF!)</formula>
    </cfRule>
  </conditionalFormatting>
  <conditionalFormatting sqref="P51:BZ51">
    <cfRule type="expression" dxfId="0" priority="44">
      <formula>AND(P$6&gt;#REF!,P$6&lt;=#REF!)</formula>
    </cfRule>
  </conditionalFormatting>
  <dataValidations count="2">
    <dataValidation type="list" allowBlank="1" showInputMessage="1" showErrorMessage="1" sqref="L4:L6 L132:L1048576" xr:uid="{445D0642-9DC7-457D-AD34-8F871F42D518}">
      <formula1>$C$148:$C$150</formula1>
    </dataValidation>
    <dataValidation type="list" allowBlank="1" showInputMessage="1" showErrorMessage="1" sqref="L7:L25 L27:L131" xr:uid="{9B9520FC-6E37-4082-80DB-78E1D4D03377}">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xr:uid="{02A6E133-A72A-4DB1-88D9-9DEC3E79D90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M1:M25 M27:M1048576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topLeftCell="A57" workbookViewId="0">
      <selection activeCell="J31" sqref="J31"/>
    </sheetView>
  </sheetViews>
  <sheetFormatPr defaultColWidth="8.88671875" defaultRowHeight="14.4" outlineLevelRow="2" x14ac:dyDescent="0.3"/>
  <cols>
    <col min="1" max="1" width="21.44140625" customWidth="1"/>
    <col min="2" max="2" width="64.44140625" customWidth="1"/>
    <col min="3" max="3" width="17.6640625" customWidth="1"/>
    <col min="4" max="4" width="18.109375" customWidth="1"/>
    <col min="5" max="6" width="18.33203125" customWidth="1"/>
    <col min="7" max="7" width="17.44140625" customWidth="1"/>
  </cols>
  <sheetData>
    <row r="1" spans="1:18" ht="26.4" thickBot="1" x14ac:dyDescent="0.35">
      <c r="A1" s="103" t="s">
        <v>33</v>
      </c>
      <c r="B1" s="104"/>
      <c r="C1" s="104"/>
      <c r="D1" s="104"/>
      <c r="E1" s="104"/>
      <c r="F1" s="104"/>
      <c r="G1" s="104"/>
    </row>
    <row r="2" spans="1:18" ht="26.25" customHeight="1" x14ac:dyDescent="0.3">
      <c r="A2" s="105" t="s">
        <v>34</v>
      </c>
      <c r="B2" s="106"/>
      <c r="C2" s="106"/>
      <c r="D2" s="106"/>
      <c r="E2" s="106"/>
      <c r="F2" s="106"/>
      <c r="G2" s="106"/>
      <c r="I2" s="107" t="s">
        <v>35</v>
      </c>
      <c r="J2" s="108"/>
      <c r="K2" s="108"/>
      <c r="L2" s="108"/>
      <c r="M2" s="108"/>
      <c r="N2" s="108"/>
      <c r="O2" s="108"/>
      <c r="P2" s="108"/>
      <c r="Q2" s="108"/>
      <c r="R2" s="109"/>
    </row>
    <row r="3" spans="1:18" ht="15" thickBot="1" x14ac:dyDescent="0.35">
      <c r="I3" s="110"/>
      <c r="J3" s="111"/>
      <c r="K3" s="111"/>
      <c r="L3" s="111"/>
      <c r="M3" s="111"/>
      <c r="N3" s="111"/>
      <c r="O3" s="111"/>
      <c r="P3" s="111"/>
      <c r="Q3" s="111"/>
      <c r="R3" s="112"/>
    </row>
    <row r="4" spans="1:18" x14ac:dyDescent="0.3">
      <c r="A4" s="87" t="s">
        <v>36</v>
      </c>
      <c r="B4" s="88" t="s">
        <v>37</v>
      </c>
      <c r="E4" s="116" t="s">
        <v>38</v>
      </c>
      <c r="F4" s="117"/>
      <c r="G4" s="118"/>
      <c r="I4" s="110"/>
      <c r="J4" s="111"/>
      <c r="K4" s="111"/>
      <c r="L4" s="111"/>
      <c r="M4" s="111"/>
      <c r="N4" s="111"/>
      <c r="O4" s="111"/>
      <c r="P4" s="111"/>
      <c r="Q4" s="111"/>
      <c r="R4" s="112"/>
    </row>
    <row r="5" spans="1:18" x14ac:dyDescent="0.3">
      <c r="A5" s="89" t="s">
        <v>39</v>
      </c>
      <c r="B5" s="90" t="s">
        <v>40</v>
      </c>
      <c r="E5" s="119"/>
      <c r="F5" s="120"/>
      <c r="G5" s="121"/>
      <c r="I5" s="110"/>
      <c r="J5" s="111"/>
      <c r="K5" s="111"/>
      <c r="L5" s="111"/>
      <c r="M5" s="111"/>
      <c r="N5" s="111"/>
      <c r="O5" s="111"/>
      <c r="P5" s="111"/>
      <c r="Q5" s="111"/>
      <c r="R5" s="112"/>
    </row>
    <row r="6" spans="1:18" ht="15" thickBot="1" x14ac:dyDescent="0.35">
      <c r="A6" s="89" t="s">
        <v>41</v>
      </c>
      <c r="B6" s="90" t="s">
        <v>42</v>
      </c>
      <c r="E6" s="122"/>
      <c r="F6" s="123"/>
      <c r="G6" s="124"/>
      <c r="I6" s="110"/>
      <c r="J6" s="111"/>
      <c r="K6" s="111"/>
      <c r="L6" s="111"/>
      <c r="M6" s="111"/>
      <c r="N6" s="111"/>
      <c r="O6" s="111"/>
      <c r="P6" s="111"/>
      <c r="Q6" s="111"/>
      <c r="R6" s="112"/>
    </row>
    <row r="7" spans="1:18" x14ac:dyDescent="0.3">
      <c r="A7" s="89" t="s">
        <v>43</v>
      </c>
      <c r="B7" s="90"/>
      <c r="I7" s="110"/>
      <c r="J7" s="111"/>
      <c r="K7" s="111"/>
      <c r="L7" s="111"/>
      <c r="M7" s="111"/>
      <c r="N7" s="111"/>
      <c r="O7" s="111"/>
      <c r="P7" s="111"/>
      <c r="Q7" s="111"/>
      <c r="R7" s="112"/>
    </row>
    <row r="8" spans="1:18" x14ac:dyDescent="0.3">
      <c r="A8" s="89" t="s">
        <v>12</v>
      </c>
      <c r="B8" s="91">
        <v>43831</v>
      </c>
      <c r="I8" s="110"/>
      <c r="J8" s="111"/>
      <c r="K8" s="111"/>
      <c r="L8" s="111"/>
      <c r="M8" s="111"/>
      <c r="N8" s="111"/>
      <c r="O8" s="111"/>
      <c r="P8" s="111"/>
      <c r="Q8" s="111"/>
      <c r="R8" s="112"/>
    </row>
    <row r="9" spans="1:18" x14ac:dyDescent="0.3">
      <c r="A9" s="89" t="s">
        <v>44</v>
      </c>
      <c r="B9" s="91">
        <v>43834</v>
      </c>
      <c r="I9" s="110"/>
      <c r="J9" s="111"/>
      <c r="K9" s="111"/>
      <c r="L9" s="111"/>
      <c r="M9" s="111"/>
      <c r="N9" s="111"/>
      <c r="O9" s="111"/>
      <c r="P9" s="111"/>
      <c r="Q9" s="111"/>
      <c r="R9" s="112"/>
    </row>
    <row r="10" spans="1:18" x14ac:dyDescent="0.3">
      <c r="A10" s="92" t="s">
        <v>45</v>
      </c>
      <c r="B10" s="93" t="s">
        <v>46</v>
      </c>
      <c r="I10" s="110"/>
      <c r="J10" s="111"/>
      <c r="K10" s="111"/>
      <c r="L10" s="111"/>
      <c r="M10" s="111"/>
      <c r="N10" s="111"/>
      <c r="O10" s="111"/>
      <c r="P10" s="111"/>
      <c r="Q10" s="111"/>
      <c r="R10" s="112"/>
    </row>
    <row r="11" spans="1:18" x14ac:dyDescent="0.3">
      <c r="I11" s="110"/>
      <c r="J11" s="111"/>
      <c r="K11" s="111"/>
      <c r="L11" s="111"/>
      <c r="M11" s="111"/>
      <c r="N11" s="111"/>
      <c r="O11" s="111"/>
      <c r="P11" s="111"/>
      <c r="Q11" s="111"/>
      <c r="R11" s="112"/>
    </row>
    <row r="12" spans="1:18" x14ac:dyDescent="0.3">
      <c r="I12" s="110"/>
      <c r="J12" s="111"/>
      <c r="K12" s="111"/>
      <c r="L12" s="111"/>
      <c r="M12" s="111"/>
      <c r="N12" s="111"/>
      <c r="O12" s="111"/>
      <c r="P12" s="111"/>
      <c r="Q12" s="111"/>
      <c r="R12" s="112"/>
    </row>
    <row r="13" spans="1:18" x14ac:dyDescent="0.3">
      <c r="A13" s="86" t="s">
        <v>47</v>
      </c>
      <c r="B13" s="86" t="s">
        <v>48</v>
      </c>
      <c r="C13" s="86" t="s">
        <v>49</v>
      </c>
      <c r="D13" s="86" t="s">
        <v>50</v>
      </c>
      <c r="E13" s="86" t="s">
        <v>51</v>
      </c>
      <c r="F13" s="86" t="s">
        <v>52</v>
      </c>
      <c r="G13" s="86" t="s">
        <v>53</v>
      </c>
      <c r="I13" s="110"/>
      <c r="J13" s="111"/>
      <c r="K13" s="111"/>
      <c r="L13" s="111"/>
      <c r="M13" s="111"/>
      <c r="N13" s="111"/>
      <c r="O13" s="111"/>
      <c r="P13" s="111"/>
      <c r="Q13" s="111"/>
      <c r="R13" s="112"/>
    </row>
    <row r="14" spans="1:18" x14ac:dyDescent="0.3">
      <c r="A14" s="79"/>
      <c r="B14" s="80"/>
      <c r="C14" s="79"/>
      <c r="D14" s="81"/>
      <c r="E14" s="81"/>
      <c r="F14" s="79"/>
      <c r="I14" s="110"/>
      <c r="J14" s="111"/>
      <c r="K14" s="111"/>
      <c r="L14" s="111"/>
      <c r="M14" s="111"/>
      <c r="N14" s="111"/>
      <c r="O14" s="111"/>
      <c r="P14" s="111"/>
      <c r="Q14" s="111"/>
      <c r="R14" s="112"/>
    </row>
    <row r="15" spans="1:18" x14ac:dyDescent="0.3">
      <c r="A15" s="79"/>
      <c r="B15" s="82" t="s">
        <v>54</v>
      </c>
      <c r="C15" s="79"/>
      <c r="D15" s="81"/>
      <c r="E15" s="81"/>
      <c r="F15" s="79"/>
      <c r="I15" s="110"/>
      <c r="J15" s="111"/>
      <c r="K15" s="111"/>
      <c r="L15" s="111"/>
      <c r="M15" s="111"/>
      <c r="N15" s="111"/>
      <c r="O15" s="111"/>
      <c r="P15" s="111"/>
      <c r="Q15" s="111"/>
      <c r="R15" s="112"/>
    </row>
    <row r="16" spans="1:18" x14ac:dyDescent="0.3">
      <c r="A16" s="79"/>
      <c r="B16" s="83" t="s">
        <v>55</v>
      </c>
      <c r="C16" s="79"/>
      <c r="D16" s="84">
        <v>43831</v>
      </c>
      <c r="E16" s="81">
        <v>43922</v>
      </c>
      <c r="F16" s="79">
        <v>3</v>
      </c>
      <c r="G16" t="s">
        <v>56</v>
      </c>
      <c r="I16" s="110"/>
      <c r="J16" s="111"/>
      <c r="K16" s="111"/>
      <c r="L16" s="111"/>
      <c r="M16" s="111"/>
      <c r="N16" s="111"/>
      <c r="O16" s="111"/>
      <c r="P16" s="111"/>
      <c r="Q16" s="111"/>
      <c r="R16" s="112"/>
    </row>
    <row r="17" spans="1:18" outlineLevel="1" x14ac:dyDescent="0.3">
      <c r="B17" t="s">
        <v>57</v>
      </c>
      <c r="D17" s="84">
        <v>43831</v>
      </c>
      <c r="E17" s="81">
        <v>43922</v>
      </c>
      <c r="F17" s="79">
        <v>3</v>
      </c>
      <c r="G17" t="s">
        <v>56</v>
      </c>
      <c r="I17" s="110"/>
      <c r="J17" s="111"/>
      <c r="K17" s="111"/>
      <c r="L17" s="111"/>
      <c r="M17" s="111"/>
      <c r="N17" s="111"/>
      <c r="O17" s="111"/>
      <c r="P17" s="111"/>
      <c r="Q17" s="111"/>
      <c r="R17" s="112"/>
    </row>
    <row r="18" spans="1:18" outlineLevel="1" x14ac:dyDescent="0.3">
      <c r="A18" s="79"/>
      <c r="B18" t="s">
        <v>58</v>
      </c>
      <c r="D18" s="84">
        <v>43831</v>
      </c>
      <c r="E18" s="81">
        <v>43922</v>
      </c>
      <c r="F18" s="79">
        <v>3</v>
      </c>
      <c r="G18" t="s">
        <v>56</v>
      </c>
      <c r="I18" s="110"/>
      <c r="J18" s="111"/>
      <c r="K18" s="111"/>
      <c r="L18" s="111"/>
      <c r="M18" s="111"/>
      <c r="N18" s="111"/>
      <c r="O18" s="111"/>
      <c r="P18" s="111"/>
      <c r="Q18" s="111"/>
      <c r="R18" s="112"/>
    </row>
    <row r="19" spans="1:18" outlineLevel="1" x14ac:dyDescent="0.3">
      <c r="B19" t="s">
        <v>59</v>
      </c>
      <c r="D19" s="84">
        <v>43831</v>
      </c>
      <c r="E19" s="81">
        <v>43922</v>
      </c>
      <c r="F19" s="79">
        <v>3</v>
      </c>
      <c r="G19" t="s">
        <v>56</v>
      </c>
      <c r="I19" s="110"/>
      <c r="J19" s="111"/>
      <c r="K19" s="111"/>
      <c r="L19" s="111"/>
      <c r="M19" s="111"/>
      <c r="N19" s="111"/>
      <c r="O19" s="111"/>
      <c r="P19" s="111"/>
      <c r="Q19" s="111"/>
      <c r="R19" s="112"/>
    </row>
    <row r="20" spans="1:18" x14ac:dyDescent="0.3">
      <c r="I20" s="110"/>
      <c r="J20" s="111"/>
      <c r="K20" s="111"/>
      <c r="L20" s="111"/>
      <c r="M20" s="111"/>
      <c r="N20" s="111"/>
      <c r="O20" s="111"/>
      <c r="P20" s="111"/>
      <c r="Q20" s="111"/>
      <c r="R20" s="112"/>
    </row>
    <row r="21" spans="1:18" ht="15" thickBot="1" x14ac:dyDescent="0.35">
      <c r="B21" s="80"/>
      <c r="I21" s="113"/>
      <c r="J21" s="114"/>
      <c r="K21" s="114"/>
      <c r="L21" s="114"/>
      <c r="M21" s="114"/>
      <c r="N21" s="114"/>
      <c r="O21" s="114"/>
      <c r="P21" s="114"/>
      <c r="Q21" s="114"/>
      <c r="R21" s="115"/>
    </row>
    <row r="22" spans="1:18" outlineLevel="1" x14ac:dyDescent="0.3">
      <c r="B22" s="42" t="s">
        <v>60</v>
      </c>
      <c r="D22" s="85"/>
      <c r="E22" s="85"/>
    </row>
    <row r="23" spans="1:18" outlineLevel="1" x14ac:dyDescent="0.3">
      <c r="B23" t="s">
        <v>61</v>
      </c>
      <c r="D23" s="85">
        <v>43952</v>
      </c>
      <c r="E23" s="85">
        <v>44105</v>
      </c>
      <c r="F23">
        <v>5</v>
      </c>
      <c r="G23" t="s">
        <v>56</v>
      </c>
    </row>
    <row r="24" spans="1:18" outlineLevel="1" x14ac:dyDescent="0.3">
      <c r="B24" t="s">
        <v>62</v>
      </c>
      <c r="D24" s="85">
        <v>43952</v>
      </c>
      <c r="E24" s="85">
        <v>44105</v>
      </c>
      <c r="F24">
        <v>5</v>
      </c>
      <c r="G24" t="s">
        <v>56</v>
      </c>
    </row>
    <row r="25" spans="1:18" outlineLevel="1" x14ac:dyDescent="0.3">
      <c r="B25" t="s">
        <v>63</v>
      </c>
      <c r="D25" s="85">
        <v>43952</v>
      </c>
      <c r="E25" s="85">
        <v>44105</v>
      </c>
      <c r="F25">
        <v>5</v>
      </c>
      <c r="G25" t="s">
        <v>56</v>
      </c>
    </row>
    <row r="26" spans="1:18" outlineLevel="1" x14ac:dyDescent="0.3"/>
    <row r="28" spans="1:18" x14ac:dyDescent="0.3">
      <c r="B28" s="42" t="s">
        <v>64</v>
      </c>
    </row>
    <row r="29" spans="1:18" outlineLevel="1" x14ac:dyDescent="0.3">
      <c r="B29" s="42" t="s">
        <v>65</v>
      </c>
      <c r="D29" s="85">
        <v>44166</v>
      </c>
      <c r="E29" t="s">
        <v>66</v>
      </c>
      <c r="F29">
        <v>8</v>
      </c>
      <c r="G29" t="s">
        <v>56</v>
      </c>
    </row>
    <row r="30" spans="1:18" outlineLevel="2" x14ac:dyDescent="0.3">
      <c r="B30" s="42" t="s">
        <v>67</v>
      </c>
      <c r="D30" t="s">
        <v>68</v>
      </c>
      <c r="E30" t="s">
        <v>69</v>
      </c>
      <c r="F30">
        <v>59</v>
      </c>
      <c r="G30" t="s">
        <v>70</v>
      </c>
    </row>
    <row r="31" spans="1:18" outlineLevel="2" x14ac:dyDescent="0.3">
      <c r="B31" s="42" t="s">
        <v>71</v>
      </c>
      <c r="D31" t="s">
        <v>68</v>
      </c>
      <c r="E31" t="s">
        <v>72</v>
      </c>
      <c r="F31">
        <v>9</v>
      </c>
    </row>
    <row r="32" spans="1:18" outlineLevel="2" x14ac:dyDescent="0.3">
      <c r="B32" t="s">
        <v>73</v>
      </c>
    </row>
    <row r="33" spans="2:6" outlineLevel="2" x14ac:dyDescent="0.3">
      <c r="B33" t="s">
        <v>74</v>
      </c>
    </row>
    <row r="34" spans="2:6" outlineLevel="1" x14ac:dyDescent="0.3">
      <c r="B34" s="42" t="s">
        <v>75</v>
      </c>
      <c r="D34" s="85">
        <v>43832</v>
      </c>
      <c r="E34" s="85">
        <v>44106</v>
      </c>
      <c r="F34">
        <v>10</v>
      </c>
    </row>
    <row r="35" spans="2:6" outlineLevel="1" x14ac:dyDescent="0.3">
      <c r="B35" s="42" t="s">
        <v>76</v>
      </c>
    </row>
    <row r="36" spans="2:6" outlineLevel="2" x14ac:dyDescent="0.3">
      <c r="B36" t="s">
        <v>77</v>
      </c>
    </row>
    <row r="37" spans="2:6" outlineLevel="2" x14ac:dyDescent="0.3">
      <c r="B37" t="s">
        <v>78</v>
      </c>
    </row>
    <row r="38" spans="2:6" outlineLevel="2" x14ac:dyDescent="0.3">
      <c r="B38" s="42" t="s">
        <v>79</v>
      </c>
      <c r="D38" s="85">
        <v>44137</v>
      </c>
      <c r="E38" t="s">
        <v>80</v>
      </c>
      <c r="F38">
        <v>5</v>
      </c>
    </row>
    <row r="39" spans="2:6" outlineLevel="2" x14ac:dyDescent="0.3">
      <c r="B39" t="s">
        <v>81</v>
      </c>
    </row>
    <row r="40" spans="2:6" outlineLevel="2" x14ac:dyDescent="0.3">
      <c r="B40" s="42" t="s">
        <v>82</v>
      </c>
      <c r="D40" t="s">
        <v>83</v>
      </c>
      <c r="E40" t="s">
        <v>84</v>
      </c>
      <c r="F40">
        <v>5</v>
      </c>
    </row>
    <row r="41" spans="2:6" outlineLevel="2" x14ac:dyDescent="0.3">
      <c r="B41" t="s">
        <v>85</v>
      </c>
    </row>
    <row r="42" spans="2:6" outlineLevel="1" x14ac:dyDescent="0.3">
      <c r="B42" s="42" t="s">
        <v>86</v>
      </c>
    </row>
    <row r="43" spans="2:6" outlineLevel="1" x14ac:dyDescent="0.3">
      <c r="B43" t="s">
        <v>87</v>
      </c>
    </row>
    <row r="44" spans="2:6" outlineLevel="2" x14ac:dyDescent="0.3">
      <c r="B44" t="s">
        <v>88</v>
      </c>
    </row>
    <row r="45" spans="2:6" outlineLevel="2" x14ac:dyDescent="0.3">
      <c r="B45" t="s">
        <v>89</v>
      </c>
    </row>
    <row r="46" spans="2:6" outlineLevel="2" x14ac:dyDescent="0.3">
      <c r="B46" s="42" t="s">
        <v>90</v>
      </c>
      <c r="D46" t="s">
        <v>91</v>
      </c>
      <c r="E46" t="s">
        <v>92</v>
      </c>
      <c r="F46">
        <v>4</v>
      </c>
    </row>
    <row r="47" spans="2:6" outlineLevel="2" x14ac:dyDescent="0.3">
      <c r="B47" t="s">
        <v>93</v>
      </c>
    </row>
    <row r="48" spans="2:6" x14ac:dyDescent="0.3">
      <c r="B48" t="s">
        <v>94</v>
      </c>
    </row>
    <row r="49" spans="2:6" x14ac:dyDescent="0.3">
      <c r="B49" t="s">
        <v>95</v>
      </c>
    </row>
    <row r="50" spans="2:6" outlineLevel="1" x14ac:dyDescent="0.3">
      <c r="B50" t="s">
        <v>96</v>
      </c>
    </row>
    <row r="51" spans="2:6" outlineLevel="1" x14ac:dyDescent="0.3">
      <c r="B51" t="s">
        <v>97</v>
      </c>
    </row>
    <row r="52" spans="2:6" outlineLevel="1" x14ac:dyDescent="0.3">
      <c r="B52" s="42" t="s">
        <v>98</v>
      </c>
      <c r="D52" t="s">
        <v>92</v>
      </c>
      <c r="E52" t="s">
        <v>99</v>
      </c>
      <c r="F52">
        <v>3</v>
      </c>
    </row>
    <row r="53" spans="2:6" outlineLevel="1" x14ac:dyDescent="0.3">
      <c r="B53" t="s">
        <v>100</v>
      </c>
    </row>
    <row r="54" spans="2:6" outlineLevel="1" x14ac:dyDescent="0.3">
      <c r="B54" t="s">
        <v>101</v>
      </c>
    </row>
    <row r="55" spans="2:6" outlineLevel="1" x14ac:dyDescent="0.3">
      <c r="B55" t="s">
        <v>102</v>
      </c>
    </row>
    <row r="56" spans="2:6" x14ac:dyDescent="0.3">
      <c r="B56" t="s">
        <v>103</v>
      </c>
    </row>
    <row r="57" spans="2:6" x14ac:dyDescent="0.3">
      <c r="B57" t="s">
        <v>104</v>
      </c>
    </row>
    <row r="58" spans="2:6" outlineLevel="1" x14ac:dyDescent="0.3">
      <c r="B58" t="s">
        <v>105</v>
      </c>
    </row>
    <row r="59" spans="2:6" outlineLevel="1" x14ac:dyDescent="0.3">
      <c r="B59" s="42" t="s">
        <v>106</v>
      </c>
      <c r="D59" s="85">
        <v>43833</v>
      </c>
      <c r="E59" s="85">
        <v>44077</v>
      </c>
      <c r="F59">
        <v>8</v>
      </c>
    </row>
    <row r="60" spans="2:6" outlineLevel="1" x14ac:dyDescent="0.3">
      <c r="B60" t="s">
        <v>107</v>
      </c>
    </row>
    <row r="61" spans="2:6" x14ac:dyDescent="0.3">
      <c r="B61" t="s">
        <v>108</v>
      </c>
    </row>
    <row r="62" spans="2:6" x14ac:dyDescent="0.3">
      <c r="B62" t="s">
        <v>109</v>
      </c>
    </row>
    <row r="63" spans="2:6" outlineLevel="1" x14ac:dyDescent="0.3">
      <c r="B63" s="42" t="s">
        <v>110</v>
      </c>
      <c r="D63" s="85">
        <v>44107</v>
      </c>
      <c r="E63" t="s">
        <v>111</v>
      </c>
      <c r="F63">
        <v>5</v>
      </c>
    </row>
    <row r="64" spans="2:6" outlineLevel="1" x14ac:dyDescent="0.3">
      <c r="B64" s="42" t="s">
        <v>112</v>
      </c>
    </row>
    <row r="65" spans="2:6" outlineLevel="1" x14ac:dyDescent="0.3">
      <c r="B65" t="s">
        <v>113</v>
      </c>
    </row>
    <row r="66" spans="2:6" x14ac:dyDescent="0.3">
      <c r="B66" t="s">
        <v>114</v>
      </c>
    </row>
    <row r="67" spans="2:6" x14ac:dyDescent="0.3">
      <c r="B67" t="s">
        <v>115</v>
      </c>
    </row>
    <row r="68" spans="2:6" x14ac:dyDescent="0.3">
      <c r="B68" t="s">
        <v>116</v>
      </c>
    </row>
    <row r="69" spans="2:6" x14ac:dyDescent="0.3">
      <c r="B69" s="42" t="s">
        <v>117</v>
      </c>
      <c r="D69" t="s">
        <v>118</v>
      </c>
      <c r="E69" t="s">
        <v>69</v>
      </c>
      <c r="F69">
        <v>7</v>
      </c>
    </row>
    <row r="70" spans="2:6" x14ac:dyDescent="0.3">
      <c r="B70" t="s">
        <v>119</v>
      </c>
    </row>
    <row r="71" spans="2:6" x14ac:dyDescent="0.3">
      <c r="B71" t="s">
        <v>120</v>
      </c>
    </row>
    <row r="72" spans="2:6" x14ac:dyDescent="0.3">
      <c r="B72" t="s">
        <v>121</v>
      </c>
    </row>
    <row r="73" spans="2:6" x14ac:dyDescent="0.3">
      <c r="B73" t="s">
        <v>122</v>
      </c>
    </row>
    <row r="74" spans="2:6" x14ac:dyDescent="0.3">
      <c r="B74" t="s">
        <v>123</v>
      </c>
    </row>
    <row r="75" spans="2:6" x14ac:dyDescent="0.3">
      <c r="B75" s="42" t="s">
        <v>124</v>
      </c>
      <c r="D75" t="s">
        <v>125</v>
      </c>
      <c r="E75" t="s">
        <v>126</v>
      </c>
      <c r="F75">
        <v>6</v>
      </c>
    </row>
    <row r="76" spans="2:6" x14ac:dyDescent="0.3">
      <c r="B76" t="s">
        <v>127</v>
      </c>
    </row>
    <row r="77" spans="2:6" x14ac:dyDescent="0.3">
      <c r="B77" t="s">
        <v>128</v>
      </c>
    </row>
    <row r="79" spans="2:6" x14ac:dyDescent="0.3">
      <c r="B79" s="42" t="s">
        <v>129</v>
      </c>
      <c r="D79" s="85">
        <v>43834</v>
      </c>
      <c r="E79" s="85">
        <v>43834</v>
      </c>
      <c r="F79">
        <v>1</v>
      </c>
    </row>
  </sheetData>
  <mergeCells count="4">
    <mergeCell ref="A1:G1"/>
    <mergeCell ref="A2:G2"/>
    <mergeCell ref="I2:R21"/>
    <mergeCell ref="E4:G6"/>
  </mergeCells>
  <conditionalFormatting sqref="G13:G79">
    <cfRule type="cellIs" dxfId="4" priority="1" operator="equal">
      <formula>"COMPLETED"</formula>
    </cfRule>
    <cfRule type="cellIs" dxfId="3" priority="2" operator="equal">
      <formula>"PAUSED"</formula>
    </cfRule>
    <cfRule type="cellIs" dxfId="2"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2.xml><?xml version="1.0" encoding="utf-8"?>
<ds:datastoreItem xmlns:ds="http://schemas.openxmlformats.org/officeDocument/2006/customXml" ds:itemID="{164CA4EF-3DD6-41DA-8D14-43B976E39805}">
  <ds:schemaRefs>
    <ds:schemaRef ds:uri="http://schemas.microsoft.com/sharepoint/v3/contenttype/forms"/>
  </ds:schemaRefs>
</ds:datastoreItem>
</file>

<file path=customXml/itemProps3.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Prajakta Pattanaik</cp:lastModifiedBy>
  <cp:revision/>
  <dcterms:created xsi:type="dcterms:W3CDTF">2020-10-23T22:38:51Z</dcterms:created>
  <dcterms:modified xsi:type="dcterms:W3CDTF">2026-06-19T16:11:47Z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